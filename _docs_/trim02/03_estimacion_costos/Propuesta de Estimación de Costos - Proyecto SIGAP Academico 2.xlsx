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firstSheet="1"/>
  </bookViews>
  <sheets>
    <sheet name="Presupuesto Total del Proyecto" sheetId="1" r:id="rId1"/>
    <sheet name="Planeación." sheetId="2" r:id="rId2"/>
    <sheet name="Gastos Administrativos." sheetId="6" r:id="rId3"/>
    <sheet name="Recursos Humanos." sheetId="3" r:id="rId4"/>
    <sheet name="Hadware." sheetId="5" r:id="rId5"/>
    <sheet name="Software."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<sst xmlns="http://schemas.openxmlformats.org/spreadsheetml/2006/main" count="209" uniqueCount="180">
  <si>
    <t>Concepto</t>
  </si>
  <si>
    <t>Valor Estimado (COP)</t>
  </si>
  <si>
    <t>Recursos Humanos.</t>
  </si>
  <si>
    <t>Gastos Administrativos.</t>
  </si>
  <si>
    <t>Software</t>
  </si>
  <si>
    <t>Hadware.</t>
  </si>
  <si>
    <t>Ganancia (Utilidad del Proyecto)</t>
  </si>
  <si>
    <t>Total de Inversión</t>
  </si>
  <si>
    <t>ITEM</t>
  </si>
  <si>
    <t>ACTIVIDAD</t>
  </si>
  <si>
    <t>EVIDENCIA</t>
  </si>
  <si>
    <t>RESPONSABLE</t>
  </si>
  <si>
    <t>INICIO</t>
  </si>
  <si>
    <t>FIN</t>
  </si>
  <si>
    <t>ESPECIFICACION DE REQUICITOS</t>
  </si>
  <si>
    <t>1.1.</t>
  </si>
  <si>
    <t>ELABORAR EL DIAGRAMA DE PROCESOS</t>
  </si>
  <si>
    <t>DIAGRAMA DE PROCESOS</t>
  </si>
  <si>
    <t>Sebastián Loboa</t>
  </si>
  <si>
    <t>1.2.</t>
  </si>
  <si>
    <t>ANALIZAR LOS DATOS RECOLECTADOS PARA DETERMINAR LAS NECESIDADES DEL CLIENTE</t>
  </si>
  <si>
    <t>DOCUMENTO DE ANALISIS</t>
  </si>
  <si>
    <t>Bryam Soriano</t>
  </si>
  <si>
    <t>1.3.</t>
  </si>
  <si>
    <r>
      <rPr>
        <sz val="12"/>
        <rFont val="Times New Roman"/>
        <charset val="134"/>
      </rPr>
      <t>ELABORAR INFORME DE REQUICITOS DEL
SISTEMA</t>
    </r>
  </si>
  <si>
    <t>DOCUMENTO IEEE-830</t>
  </si>
  <si>
    <t>Daniel Pimienta.</t>
  </si>
  <si>
    <r>
      <rPr>
        <b/>
        <sz val="12"/>
        <rFont val="Times New Roman"/>
        <charset val="134"/>
      </rPr>
      <t>ANALISIS DE LA ESPECIFICACION DE
REQUICITOS</t>
    </r>
  </si>
  <si>
    <t>2.2.</t>
  </si>
  <si>
    <t>DIAGRAMAR LOS CASOS DE USO</t>
  </si>
  <si>
    <t>DIAGRAMA DE CASOS DE USO</t>
  </si>
  <si>
    <t>2.3.</t>
  </si>
  <si>
    <r>
      <rPr>
        <sz val="12"/>
        <rFont val="Times New Roman"/>
        <charset val="134"/>
      </rPr>
      <t>GENERAR LAS PLANTILLAS DE LOS CASOS DE
USO EXTENDIDO</t>
    </r>
  </si>
  <si>
    <t>CASOS DE USO ENTENDIDO</t>
  </si>
  <si>
    <t>2.4.</t>
  </si>
  <si>
    <t>ELABORAR EL MODELO ENTIDAD RELACION</t>
  </si>
  <si>
    <t>MER</t>
  </si>
  <si>
    <r>
      <rPr>
        <b/>
        <sz val="12"/>
        <rFont val="Times New Roman"/>
        <charset val="134"/>
      </rPr>
      <t>ELABORACIÓN DE LA
PROPUESTA TÉCNICA DEL SOFTWARE</t>
    </r>
  </si>
  <si>
    <t>3.1.</t>
  </si>
  <si>
    <t>Diseñar formatos de fichas técnicas para hardware y software</t>
  </si>
  <si>
    <r>
      <rPr>
        <sz val="12"/>
        <rFont val="Times New Roman"/>
        <charset val="134"/>
      </rPr>
      <t>Fichas técnicas diseñadas según
estándares</t>
    </r>
  </si>
  <si>
    <t>3.2.</t>
  </si>
  <si>
    <r>
      <rPr>
        <sz val="12"/>
        <rFont val="Times New Roman"/>
        <charset val="134"/>
      </rPr>
      <t>Estimar costos y presupuestos del
software</t>
    </r>
  </si>
  <si>
    <r>
      <rPr>
        <sz val="12"/>
        <rFont val="Times New Roman"/>
        <charset val="134"/>
      </rPr>
      <t>Análisis comparativo de proveedores y
presupuestos</t>
    </r>
  </si>
  <si>
    <t>3.3.</t>
  </si>
  <si>
    <r>
      <rPr>
        <sz val="12"/>
        <rFont val="Times New Roman"/>
        <charset val="134"/>
      </rPr>
      <t>Construir la propuesta técnica del
software</t>
    </r>
  </si>
  <si>
    <t>Propuesta técnica documentada</t>
  </si>
  <si>
    <r>
      <rPr>
        <b/>
        <sz val="12"/>
        <rFont val="Times New Roman"/>
        <charset val="134"/>
      </rPr>
      <t>MODELADO DE LOS ARTEFACTOS
DEL SOFTWARE</t>
    </r>
  </si>
  <si>
    <t>4.1.</t>
  </si>
  <si>
    <r>
      <rPr>
        <sz val="12"/>
        <rFont val="Times New Roman"/>
        <charset val="134"/>
      </rPr>
      <t>Definir la arquitectura del software
(capas, componentes, vistas)</t>
    </r>
  </si>
  <si>
    <r>
      <rPr>
        <sz val="12"/>
        <rFont val="Times New Roman"/>
        <charset val="134"/>
      </rPr>
      <t>Documento de diseño y arquitectura del
software</t>
    </r>
  </si>
  <si>
    <t>Sebastián Loboa, Daniel Pimienta</t>
  </si>
  <si>
    <t>4.2.</t>
  </si>
  <si>
    <r>
      <rPr>
        <sz val="12"/>
        <rFont val="Times New Roman"/>
        <charset val="134"/>
      </rPr>
      <t>Crear el diagrama de clases y diagramas
de componentes</t>
    </r>
  </si>
  <si>
    <r>
      <rPr>
        <sz val="12"/>
        <rFont val="Times New Roman"/>
        <charset val="134"/>
      </rPr>
      <t>Diagramas UML de clases y vista de
componentes</t>
    </r>
  </si>
  <si>
    <t>4.3.</t>
  </si>
  <si>
    <r>
      <rPr>
        <sz val="12"/>
        <rFont val="Times New Roman"/>
        <charset val="134"/>
      </rPr>
      <t>Elaborar prototipos de interfaz gráfica de
usuario</t>
    </r>
  </si>
  <si>
    <r>
      <rPr>
        <sz val="12"/>
        <rFont val="Times New Roman"/>
        <charset val="134"/>
      </rPr>
      <t>Prototipos para aplicaciones stand-alone,
web y móviles</t>
    </r>
  </si>
  <si>
    <t>CONSTRUCCIÓN DEL SOFTWARE</t>
  </si>
  <si>
    <t>5.1.</t>
  </si>
  <si>
    <r>
      <rPr>
        <sz val="12"/>
        <rFont val="Times New Roman"/>
        <charset val="134"/>
      </rPr>
      <t>Implementar la base de datos física a
partir del modelo</t>
    </r>
  </si>
  <si>
    <r>
      <rPr>
        <sz val="12"/>
        <rFont val="Times New Roman"/>
        <charset val="134"/>
      </rPr>
      <t>Base de datos funcional con objetos y
restricciones</t>
    </r>
  </si>
  <si>
    <t>Sebastián Loboa.</t>
  </si>
  <si>
    <t>5.2.</t>
  </si>
  <si>
    <r>
      <rPr>
        <sz val="12"/>
        <rFont val="Times New Roman"/>
        <charset val="134"/>
      </rPr>
      <t>Crear componentes front-end de
acuerdo con el diseño</t>
    </r>
  </si>
  <si>
    <r>
      <rPr>
        <sz val="12"/>
        <rFont val="Times New Roman"/>
        <charset val="134"/>
      </rPr>
      <t>Interfaces de usuario front-end
codificadas</t>
    </r>
  </si>
  <si>
    <t>5.3.</t>
  </si>
  <si>
    <r>
      <rPr>
        <sz val="12"/>
        <rFont val="Times New Roman"/>
        <charset val="134"/>
      </rPr>
      <t>Codificar los módulos del software (stand-
alone, web y móvil)</t>
    </r>
  </si>
  <si>
    <r>
      <rPr>
        <sz val="12"/>
        <rFont val="Times New Roman"/>
        <charset val="134"/>
      </rPr>
      <t>Módulos de software integrados y
codificados</t>
    </r>
  </si>
  <si>
    <t>5.4.</t>
  </si>
  <si>
    <r>
      <rPr>
        <sz val="12"/>
        <rFont val="Times New Roman"/>
        <charset val="134"/>
      </rPr>
      <t>Realizar pruebas de funcionalidad al
software</t>
    </r>
  </si>
  <si>
    <r>
      <rPr>
        <sz val="12"/>
        <rFont val="Times New Roman"/>
        <charset val="134"/>
      </rPr>
      <t>Informe de pruebas y casos de prueba
documentados</t>
    </r>
  </si>
  <si>
    <t>IMPLANTACIÓN DEL SOFTWARE</t>
  </si>
  <si>
    <t>6.1.</t>
  </si>
  <si>
    <r>
      <rPr>
        <sz val="12"/>
        <rFont val="Times New Roman"/>
        <charset val="134"/>
      </rPr>
      <t>Configurar el software y servicios en el
servidor de producción</t>
    </r>
  </si>
  <si>
    <r>
      <rPr>
        <sz val="12"/>
        <rFont val="Times New Roman"/>
        <charset val="134"/>
      </rPr>
      <t>Aplicación publicada y operativa en la
plataforma</t>
    </r>
  </si>
  <si>
    <t>6.2.</t>
  </si>
  <si>
    <r>
      <rPr>
        <sz val="12"/>
        <rFont val="Times New Roman"/>
        <charset val="134"/>
      </rPr>
      <t>Elaborar manuales técnicos, de usuario y
de instalación</t>
    </r>
  </si>
  <si>
    <r>
      <rPr>
        <sz val="12"/>
        <rFont val="Times New Roman"/>
        <charset val="134"/>
      </rPr>
      <t>Manuales de usuario, técnicos y de
instalación</t>
    </r>
  </si>
  <si>
    <t>6.3.</t>
  </si>
  <si>
    <r>
      <rPr>
        <sz val="12"/>
        <rFont val="Times New Roman"/>
        <charset val="134"/>
      </rPr>
      <t>Capacitar a los usuarios en el uso del
software</t>
    </r>
  </si>
  <si>
    <r>
      <rPr>
        <sz val="12"/>
        <rFont val="Times New Roman"/>
        <charset val="134"/>
      </rPr>
      <t>Registro de capacitación y acta de
entrega formal</t>
    </r>
  </si>
  <si>
    <r>
      <rPr>
        <b/>
        <sz val="12"/>
        <rFont val="Times New Roman"/>
        <charset val="134"/>
      </rPr>
      <t>ADOPCIÓN DE BUENAS PRÁCTICAS
EN EL DESARROLLO</t>
    </r>
  </si>
  <si>
    <t>7.1.</t>
  </si>
  <si>
    <r>
      <rPr>
        <sz val="12"/>
        <rFont val="Times New Roman"/>
        <charset val="134"/>
      </rPr>
      <t>Aplicar el proceso personal de desarrollo
de software (PSP)</t>
    </r>
  </si>
  <si>
    <r>
      <rPr>
        <sz val="12"/>
        <rFont val="Times New Roman"/>
        <charset val="134"/>
      </rPr>
      <t>Registro de actividades y bitácora de
trabajo (Libro)</t>
    </r>
  </si>
  <si>
    <t>7.2.</t>
  </si>
  <si>
    <r>
      <rPr>
        <sz val="12"/>
        <rFont val="Times New Roman"/>
        <charset val="134"/>
      </rPr>
      <t>Verificar y evaluar la calidad del software
desarrollado</t>
    </r>
  </si>
  <si>
    <r>
      <rPr>
        <sz val="12"/>
        <rFont val="Times New Roman"/>
        <charset val="134"/>
      </rPr>
      <t>Informe de evaluación de la calidad y
bitácora de lecciones</t>
    </r>
  </si>
  <si>
    <t>Total de Gastos Admnistrativos por los 18 meses</t>
  </si>
  <si>
    <t>Detalle de Aplicación</t>
  </si>
  <si>
    <t>Subtotal /Mes(COP)</t>
  </si>
  <si>
    <t>Tiempo del Proyecto(meses)</t>
  </si>
  <si>
    <t>Servicios Públicos e Internet</t>
  </si>
  <si>
    <t>Conectividad, energía, agua.</t>
  </si>
  <si>
    <t>Papelería y Suministros</t>
  </si>
  <si>
    <t>Documentación física.</t>
  </si>
  <si>
    <t xml:space="preserve">Total </t>
  </si>
  <si>
    <t>Total Gastos Administrativos.</t>
  </si>
  <si>
    <t>Margen Neto</t>
  </si>
  <si>
    <t>Margen Bruto</t>
  </si>
  <si>
    <t>Servicios y Conectividad.</t>
  </si>
  <si>
    <t>Precios</t>
  </si>
  <si>
    <t>Margen de Utilidad</t>
  </si>
  <si>
    <t>Internet Fibra óptica</t>
  </si>
  <si>
    <t xml:space="preserve">Servicio Agua </t>
  </si>
  <si>
    <t>Servicio Luz</t>
  </si>
  <si>
    <t xml:space="preserve">Documentación </t>
  </si>
  <si>
    <t>Precios.</t>
  </si>
  <si>
    <t>Por documento imprimido.</t>
  </si>
  <si>
    <t>Nombre del Profesional</t>
  </si>
  <si>
    <t>Rol Específico</t>
  </si>
  <si>
    <t>Meses</t>
  </si>
  <si>
    <t>Ganacia/Hora</t>
  </si>
  <si>
    <t>Ganancia/Día.</t>
  </si>
  <si>
    <t>Valor Mensual</t>
  </si>
  <si>
    <t>Total Salario</t>
  </si>
  <si>
    <t>Daniel</t>
  </si>
  <si>
    <t>Líder de Proyecto / Analista</t>
  </si>
  <si>
    <t>Bryan</t>
  </si>
  <si>
    <t>Desarrollador Backend</t>
  </si>
  <si>
    <t>Sebastian</t>
  </si>
  <si>
    <t>QA / Gestor de Base de Datos</t>
  </si>
  <si>
    <t>Total Talento Humano</t>
  </si>
  <si>
    <t/>
  </si>
  <si>
    <t>18 Meses en Días.</t>
  </si>
  <si>
    <t>Horas trabajadas al día.</t>
  </si>
  <si>
    <t>Días Trabajados de la semana</t>
  </si>
  <si>
    <t>Horas Durante Todo el Proyecto.</t>
  </si>
  <si>
    <t xml:space="preserve">Días Trabajados al mes </t>
  </si>
  <si>
    <t>Equivalente de meses Trabajados en semanas.</t>
  </si>
  <si>
    <t>Horas Trabajadas Semanales</t>
  </si>
  <si>
    <t>Días Trabajados durante todo el proyecto.</t>
  </si>
  <si>
    <t>Detalle de Equipos.</t>
  </si>
  <si>
    <t>Subtotal (COP)</t>
  </si>
  <si>
    <t>Depreciación de Equipos</t>
  </si>
  <si>
    <t>Desgaste de hardware de desarrollo (18 meses).</t>
  </si>
  <si>
    <t>Total Administrativo</t>
  </si>
  <si>
    <t>Computador 1</t>
  </si>
  <si>
    <t>Computador 2</t>
  </si>
  <si>
    <t>Computador 3</t>
  </si>
  <si>
    <t>Información de la depreciación de los equipos de desarrollo.</t>
  </si>
  <si>
    <t>Computadores</t>
  </si>
  <si>
    <t>Precio.</t>
  </si>
  <si>
    <t xml:space="preserve">Se hace la depreción de los equipos basado en el precio inicial del equipo,  menos el valor residual del tiempo de uso(es decir, precio que se le atribuye por uso de cada año), sobre la vida útil estimada. </t>
  </si>
  <si>
    <t>Valor Residual.</t>
  </si>
  <si>
    <t>Representa el valor de depreciación del equipo por año, se calcula a partir del costo total inicial del equipo, entre el porcentaje de depreciación anual(valor residual). El valor residual varia dependiendo de las normas tributarias del país(en caso de Colombia es de un 20 porciento)</t>
  </si>
  <si>
    <t xml:space="preserve">Vida útil estimada de cada computador </t>
  </si>
  <si>
    <t xml:space="preserve"> Años </t>
  </si>
  <si>
    <t>Computador.</t>
  </si>
  <si>
    <t>Valor Residual Por año(Aproximadamente de un 1 año )</t>
  </si>
  <si>
    <t>Valor Residual Por año(Aproximadamente de 2 años )</t>
  </si>
  <si>
    <t>Ítem</t>
  </si>
  <si>
    <t>Descripción Técnica</t>
  </si>
  <si>
    <t>Proyección (18 meses)</t>
  </si>
  <si>
    <t>Hosting (Alojamiento)</t>
  </si>
  <si>
    <t>Servidor virtual para despliegue de la aplicación.(Google Cloud/ Azure)</t>
  </si>
  <si>
    <t>Dominio (DNS)</t>
  </si>
  <si>
    <t>Registro y renovación anual de identidad web.</t>
  </si>
  <si>
    <t>Adquisición</t>
  </si>
  <si>
    <t>Total Software</t>
  </si>
  <si>
    <t>Meses de Trabajo.</t>
  </si>
  <si>
    <t>Información de Software</t>
  </si>
  <si>
    <t xml:space="preserve">El precio total de un servidor, varia dependiendo del almacenamiento que se necesite por consumo(ya sea de manera mensual o anual), basandose en tres elementos.   </t>
  </si>
  <si>
    <t>Elementos de un servidor.</t>
  </si>
  <si>
    <t>¿Cómo se calculo?</t>
  </si>
  <si>
    <t xml:space="preserve">Las empresas dueñas de los servidores, por lo general traen, un precio determinado, en base a la necesidad del cliente, es decir, cuento almacenamiento requiere. Esto se hace mediante Calculadoras virtuales, donde dependiendo del almacenamiento requirido por cada elemento, se tiene un precio estimado en dolares. Para el caso de SIGAP, se hace la conversión, teniendo en cuenta que se necesita dos servidores: Azure(Base de datos, Backend), google cloud(Frontend) </t>
  </si>
  <si>
    <t>Elemento</t>
  </si>
  <si>
    <t>¿Qué es?</t>
  </si>
  <si>
    <t>CPU</t>
  </si>
  <si>
    <t>Es el "cerebro". Procesa las instrucciones y ejecuta el código de las aplicaciones o sitios web. Los servidores requieren procesadores con muchos núcleos para manejar múltiples tareas a la vez.</t>
  </si>
  <si>
    <t xml:space="preserve">Memoria </t>
  </si>
  <si>
    <t xml:space="preserve"> Es el área de trabajo temporal. Almacena los datos que la CPU necesita acceder de inmediato (como bases de datos en ejecución o sesiones de usuarios). Tener mucha RAM evita que el servidor tenga que leer el disco duro constantemente.</t>
  </si>
  <si>
    <t>Almacenamiento</t>
  </si>
  <si>
    <t xml:space="preserve"> Es donde se guardan los archivos, el sistema operativo, los programas y las bases de datos de forma permanente. Se mide en Gigabytes o Terabytes</t>
  </si>
  <si>
    <t>Precio Servidores</t>
  </si>
  <si>
    <t>Servidor.</t>
  </si>
  <si>
    <t>Google Cloud</t>
  </si>
  <si>
    <t>Azure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</si>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</sst>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176" formatCode="_ * #,##0.00_ ;_ * \-#,##0.00_ ;_ * &quot;-&quot;??_ ;_ @_ "/>
    <numFmt numFmtId="177" formatCode="_-&quot;XDR&quot;* #,##0.00_-;\-&quot;XDR&quot;* #,##0.00_-;_-&quot;XDR&quot;* &quot;-&quot;??_-;_-@_-"/>
    <numFmt numFmtId="178" formatCode="_ * #,##0_ ;_ * \-#,##0_ ;_ * &quot;-&quot;_ ;_ @_ "/>
    <numFmt numFmtId="179" formatCode="_-[$$-240A]\ * #,##0.00_-;\-[$$-240A]\ * #,##0.00_-;_-[$$-240A]\ * &quot;-&quot;??_-;_-@_-"/>
    <numFmt numFmtId="180" formatCode="dd/mm/yyyy;@"/>
  </numFmts>
  <fonts count="27">
    <font>
      <sz val="10"/>
      <color rgb="FF000000"/>
      <name val="Arial"/>
      <charset val="134"/>
      <scheme val="minor"/>
    </font>
    <font>
      <sz val="12"/>
      <color theme="1"/>
      <name val="Times New Roman"/>
      <charset val="134"/>
    </font>
    <font>
      <sz val="12"/>
      <color theme="1"/>
      <name val="Times New Roman"/>
      <charset val="134"/>
    </font>
    <font>
      <sz val="12"/>
      <color rgb="FF000000"/>
      <name val="Times New Roman"/>
      <charset val="134"/>
    </font>
    <font>
      <b/>
      <sz val="12"/>
      <name val="Times New Roman"/>
      <charset val="134"/>
    </font>
    <font>
      <b/>
      <sz val="12"/>
      <color rgb="FF000000"/>
      <name val="Times New Roman"/>
      <charset val="134"/>
    </font>
    <font>
      <sz val="12"/>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4">
    <fill>
      <patternFill patternType="none"/>
    </fill>
    <fill>
      <patternFill patternType="gray125"/>
    </fill>
    <fill>
      <patternFill patternType="solid">
        <fgColor rgb="FFC9DAF8"/>
        <bgColor rgb="FFC9DAF8"/>
      </patternFill>
    </fill>
    <fill>
      <patternFill patternType="solid">
        <fgColor rgb="FF9FC5E8"/>
        <bgColor rgb="FF9FC5E8"/>
      </patternFill>
    </fill>
    <fill>
      <patternFill patternType="solid">
        <fgColor rgb="FF93C47D"/>
        <bgColor rgb="FF93C47D"/>
      </patternFill>
    </fill>
    <fill>
      <patternFill patternType="solid">
        <fgColor rgb="FFE06666"/>
        <bgColor rgb="FFE06666"/>
      </patternFill>
    </fill>
    <fill>
      <patternFill patternType="solid">
        <fgColor theme="4" tint="0.599993896298105"/>
        <bgColor indexed="64"/>
      </patternFill>
    </fill>
    <fill>
      <patternFill patternType="solid">
        <fgColor theme="8" tint="0.599993896298105"/>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5"/>
        <bgColor indexed="64"/>
      </patternFill>
    </fill>
    <fill>
      <patternFill patternType="solid">
        <fgColor rgb="FFFFC000"/>
        <bgColor indexed="64"/>
      </patternFill>
    </fill>
    <fill>
      <patternFill patternType="solid">
        <fgColor rgb="FFFFD966"/>
        <bgColor rgb="FFFFD966"/>
      </patternFill>
    </fill>
    <fill>
      <patternFill patternType="solid">
        <fgColor rgb="FF6FA8DC"/>
        <bgColor rgb="FF6FA8DC"/>
      </patternFill>
    </fill>
    <fill>
      <patternFill patternType="solid">
        <fgColor theme="5" tint="0.399975585192419"/>
        <bgColor indexed="64"/>
      </patternFill>
    </fill>
    <fill>
      <patternFill patternType="solid">
        <fgColor rgb="FFF1C232"/>
        <bgColor rgb="FFF1C232"/>
      </patternFill>
    </fill>
    <fill>
      <patternFill patternType="solid">
        <fgColor rgb="FFB6D7A8"/>
        <bgColor rgb="FFB6D7A8"/>
      </patternFill>
    </fill>
    <fill>
      <patternFill patternType="solid">
        <fgColor rgb="FFB4A7D6"/>
        <bgColor rgb="FFB4A7D6"/>
      </patternFill>
    </fill>
    <fill>
      <patternFill patternType="solid">
        <fgColor rgb="FF00B0F0"/>
        <bgColor indexed="64"/>
      </patternFill>
    </fill>
    <fill>
      <patternFill patternType="solid">
        <fgColor rgb="FF6FAC46"/>
        <bgColor indexed="64"/>
      </patternFill>
    </fill>
    <fill>
      <patternFill patternType="solid">
        <fgColor rgb="FFC5DFB4"/>
        <bgColor indexed="64"/>
      </patternFill>
    </fill>
    <fill>
      <patternFill patternType="solid">
        <fgColor rgb="FFA9D08E"/>
        <bgColor indexed="64"/>
      </patternFill>
    </fill>
    <fill>
      <patternFill patternType="solid">
        <fgColor rgb="FFA4C2F4"/>
        <bgColor rgb="FFA4C2F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0" fillId="0" borderId="0" applyFont="0" applyFill="0" applyBorder="0" applyAlignment="0" applyProtection="0"/>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3" borderId="1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1" applyNumberFormat="0" applyFill="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5" fillId="0" borderId="0" applyNumberFormat="0" applyFill="0" applyBorder="0" applyAlignment="0" applyProtection="0">
      <alignment vertical="center"/>
    </xf>
    <xf numFmtId="0" fontId="16" fillId="24" borderId="13" applyNumberFormat="0" applyAlignment="0" applyProtection="0">
      <alignment vertical="center"/>
    </xf>
    <xf numFmtId="0" fontId="17" fillId="25" borderId="14" applyNumberFormat="0" applyAlignment="0" applyProtection="0">
      <alignment vertical="center"/>
    </xf>
    <xf numFmtId="0" fontId="18" fillId="25" borderId="13" applyNumberFormat="0" applyAlignment="0" applyProtection="0">
      <alignment vertical="center"/>
    </xf>
    <xf numFmtId="0" fontId="19" fillId="26" borderId="15" applyNumberFormat="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xf numFmtId="0" fontId="25" fillId="42" borderId="0" applyNumberFormat="0" applyBorder="0" applyAlignment="0" applyProtection="0">
      <alignment vertical="center"/>
    </xf>
    <xf numFmtId="0" fontId="26" fillId="43" borderId="0" applyNumberFormat="0" applyBorder="0" applyAlignment="0" applyProtection="0">
      <alignment vertical="center"/>
    </xf>
    <xf numFmtId="0" fontId="26" fillId="44" borderId="0" applyNumberFormat="0" applyBorder="0" applyAlignment="0" applyProtection="0">
      <alignment vertical="center"/>
    </xf>
    <xf numFmtId="0" fontId="25" fillId="45" borderId="0" applyNumberFormat="0" applyBorder="0" applyAlignment="0" applyProtection="0">
      <alignment vertical="center"/>
    </xf>
    <xf numFmtId="0" fontId="25" fillId="46" borderId="0" applyNumberFormat="0" applyBorder="0" applyAlignment="0" applyProtection="0">
      <alignment vertical="center"/>
    </xf>
    <xf numFmtId="0" fontId="26" fillId="47" borderId="0" applyNumberFormat="0" applyBorder="0" applyAlignment="0" applyProtection="0">
      <alignment vertical="center"/>
    </xf>
    <xf numFmtId="0" fontId="26" fillId="48" borderId="0" applyNumberFormat="0" applyBorder="0" applyAlignment="0" applyProtection="0">
      <alignment vertical="center"/>
    </xf>
    <xf numFmtId="0" fontId="25" fillId="49" borderId="0" applyNumberFormat="0" applyBorder="0" applyAlignment="0" applyProtection="0">
      <alignment vertical="center"/>
    </xf>
    <xf numFmtId="0" fontId="25" fillId="50" borderId="0" applyNumberFormat="0" applyBorder="0" applyAlignment="0" applyProtection="0">
      <alignment vertical="center"/>
    </xf>
    <xf numFmtId="0" fontId="26" fillId="51" borderId="0" applyNumberFormat="0" applyBorder="0" applyAlignment="0" applyProtection="0">
      <alignment vertical="center"/>
    </xf>
    <xf numFmtId="0" fontId="26" fillId="52" borderId="0" applyNumberFormat="0" applyBorder="0" applyAlignment="0" applyProtection="0">
      <alignment vertical="center"/>
    </xf>
    <xf numFmtId="0" fontId="25" fillId="53" borderId="0" applyNumberFormat="0" applyBorder="0" applyAlignment="0" applyProtection="0">
      <alignment vertical="center"/>
    </xf>
  </cellStyleXfs>
  <cellXfs count="101">
    <xf numFmtId="0" fontId="0" fillId="0" borderId="0" xfId="0" applyFont="1" applyAlignment="1"/>
    <xf numFmtId="0" fontId="0" fillId="0" borderId="0" xfId="0" applyFont="1" applyAlignment="1">
      <alignment horizontal="center" vertical="center"/>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0" borderId="0" xfId="0" applyFont="1" applyFill="1" applyBorder="1" applyAlignment="1">
      <alignment horizontal="center" vertical="center"/>
    </xf>
    <xf numFmtId="179" fontId="1" fillId="5" borderId="3" xfId="2" applyNumberFormat="1" applyFont="1" applyFill="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wrapText="1"/>
    </xf>
    <xf numFmtId="3" fontId="1" fillId="0" borderId="3" xfId="0" applyNumberFormat="1" applyFont="1" applyBorder="1" applyAlignment="1">
      <alignment horizontal="center" vertical="center"/>
    </xf>
    <xf numFmtId="3" fontId="1" fillId="0" borderId="0" xfId="0" applyNumberFormat="1" applyFont="1" applyFill="1" applyBorder="1" applyAlignment="1">
      <alignment horizontal="center" vertical="center"/>
    </xf>
    <xf numFmtId="179" fontId="1" fillId="0" borderId="3" xfId="2" applyNumberFormat="1" applyFont="1" applyBorder="1" applyAlignment="1">
      <alignment horizontal="center" vertical="center"/>
    </xf>
    <xf numFmtId="0" fontId="1" fillId="0" borderId="6" xfId="0" applyFont="1" applyBorder="1" applyAlignment="1">
      <alignment horizontal="center" vertical="center"/>
    </xf>
    <xf numFmtId="0" fontId="2" fillId="0" borderId="7"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Fill="1" applyBorder="1" applyAlignment="1">
      <alignment horizontal="center" vertical="center"/>
    </xf>
    <xf numFmtId="0" fontId="2" fillId="0" borderId="1" xfId="0" applyFont="1" applyBorder="1" applyAlignment="1">
      <alignment horizontal="center" vertical="center"/>
    </xf>
    <xf numFmtId="179" fontId="1" fillId="0" borderId="3" xfId="0" applyNumberFormat="1" applyFont="1" applyBorder="1" applyAlignment="1">
      <alignment horizontal="center" vertical="center"/>
    </xf>
    <xf numFmtId="0" fontId="2" fillId="0" borderId="0" xfId="0" applyFont="1" applyAlignment="1">
      <alignment horizontal="center" vertical="center"/>
    </xf>
    <xf numFmtId="0" fontId="2" fillId="6" borderId="3" xfId="0" applyFont="1" applyFill="1" applyBorder="1" applyAlignment="1">
      <alignment horizontal="center" vertical="center"/>
    </xf>
    <xf numFmtId="0" fontId="1" fillId="0" borderId="3" xfId="0" applyFont="1" applyBorder="1" applyAlignment="1">
      <alignment horizontal="center" vertical="center"/>
    </xf>
    <xf numFmtId="0" fontId="2" fillId="0" borderId="3" xfId="0" applyFont="1" applyBorder="1" applyAlignment="1">
      <alignment horizontal="center" vertical="center" wrapText="1"/>
    </xf>
    <xf numFmtId="0" fontId="2" fillId="7" borderId="3" xfId="0" applyFont="1" applyFill="1" applyBorder="1" applyAlignment="1">
      <alignment horizontal="center" vertical="center"/>
    </xf>
    <xf numFmtId="0" fontId="1" fillId="0" borderId="0" xfId="0" applyFont="1" applyBorder="1" applyAlignment="1">
      <alignment horizontal="center" vertical="center"/>
    </xf>
    <xf numFmtId="0" fontId="2" fillId="8" borderId="3"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Border="1" applyAlignment="1">
      <alignment horizontal="center" vertical="center" wrapText="1"/>
    </xf>
    <xf numFmtId="0" fontId="2" fillId="9" borderId="8" xfId="0" applyFont="1" applyFill="1" applyBorder="1" applyAlignment="1">
      <alignment horizontal="center" vertical="center"/>
    </xf>
    <xf numFmtId="0" fontId="2" fillId="9" borderId="9" xfId="0" applyFont="1" applyFill="1" applyBorder="1" applyAlignment="1">
      <alignment horizontal="center" vertical="center"/>
    </xf>
    <xf numFmtId="0" fontId="2" fillId="10" borderId="3" xfId="0" applyFont="1" applyFill="1" applyBorder="1" applyAlignment="1">
      <alignment horizontal="center" vertical="center"/>
    </xf>
    <xf numFmtId="179" fontId="2" fillId="0" borderId="3" xfId="2" applyNumberFormat="1" applyFont="1" applyBorder="1" applyAlignment="1">
      <alignment horizontal="center" vertical="center"/>
    </xf>
    <xf numFmtId="0" fontId="2" fillId="11" borderId="3" xfId="0" applyFont="1" applyFill="1" applyBorder="1" applyAlignment="1">
      <alignment horizontal="center" vertical="center"/>
    </xf>
    <xf numFmtId="0" fontId="1" fillId="12" borderId="1" xfId="0" applyFont="1" applyFill="1" applyBorder="1"/>
    <xf numFmtId="0" fontId="2" fillId="4" borderId="4" xfId="0" applyFont="1" applyFill="1" applyBorder="1"/>
    <xf numFmtId="0" fontId="1" fillId="13" borderId="4" xfId="0" applyFont="1" applyFill="1" applyBorder="1"/>
    <xf numFmtId="0" fontId="1" fillId="0" borderId="0" xfId="0" applyFont="1"/>
    <xf numFmtId="0" fontId="1" fillId="0" borderId="2" xfId="0" applyFont="1" applyBorder="1"/>
    <xf numFmtId="0" fontId="2" fillId="0" borderId="3" xfId="0" applyFont="1" applyBorder="1"/>
    <xf numFmtId="0" fontId="2" fillId="0" borderId="8" xfId="0" applyFont="1" applyBorder="1"/>
    <xf numFmtId="179" fontId="1" fillId="0" borderId="3" xfId="2" applyNumberFormat="1" applyFont="1" applyBorder="1" applyAlignment="1"/>
    <xf numFmtId="179" fontId="1" fillId="0" borderId="3" xfId="0" applyNumberFormat="1" applyFont="1" applyBorder="1" applyAlignment="1"/>
    <xf numFmtId="0" fontId="2" fillId="14" borderId="3" xfId="0" applyFont="1" applyFill="1" applyBorder="1" applyAlignment="1">
      <alignment horizontal="center"/>
    </xf>
    <xf numFmtId="0" fontId="2" fillId="0" borderId="3" xfId="0" applyFont="1" applyFill="1" applyBorder="1" applyAlignment="1">
      <alignment horizontal="center" vertical="center" wrapText="1"/>
    </xf>
    <xf numFmtId="0" fontId="1" fillId="0" borderId="3" xfId="0" applyFont="1" applyBorder="1" applyAlignment="1">
      <alignment horizontal="center"/>
    </xf>
    <xf numFmtId="179" fontId="1" fillId="0" borderId="3" xfId="2" applyNumberFormat="1" applyFont="1" applyBorder="1" applyAlignment="1">
      <alignment horizontal="center"/>
    </xf>
    <xf numFmtId="0" fontId="2" fillId="6" borderId="3" xfId="0" applyFont="1" applyFill="1" applyBorder="1" applyAlignment="1">
      <alignment horizontal="center"/>
    </xf>
    <xf numFmtId="0" fontId="2" fillId="0" borderId="3" xfId="0" applyFont="1" applyBorder="1" applyAlignment="1">
      <alignment horizontal="center" wrapText="1"/>
    </xf>
    <xf numFmtId="179" fontId="1" fillId="0" borderId="3" xfId="0" applyNumberFormat="1" applyFont="1" applyBorder="1" applyAlignment="1">
      <alignment horizontal="center"/>
    </xf>
    <xf numFmtId="0" fontId="1" fillId="0" borderId="0" xfId="0" applyFont="1" applyBorder="1" applyAlignment="1">
      <alignment horizontal="center"/>
    </xf>
    <xf numFmtId="179" fontId="1" fillId="0" borderId="0" xfId="0" applyNumberFormat="1" applyFont="1" applyBorder="1" applyAlignment="1">
      <alignment horizontal="center"/>
    </xf>
    <xf numFmtId="0" fontId="1" fillId="5"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2" fillId="16" borderId="1" xfId="0" applyFont="1" applyFill="1" applyBorder="1" applyAlignment="1">
      <alignment horizontal="center"/>
    </xf>
    <xf numFmtId="0" fontId="1" fillId="17" borderId="1" xfId="0" applyFont="1" applyFill="1" applyBorder="1" applyAlignment="1">
      <alignment horizontal="center"/>
    </xf>
    <xf numFmtId="0" fontId="1" fillId="13" borderId="1" xfId="0" applyFont="1" applyFill="1" applyBorder="1" applyAlignment="1">
      <alignment horizontal="center"/>
    </xf>
    <xf numFmtId="0" fontId="1" fillId="0" borderId="1" xfId="0" applyFont="1" applyBorder="1"/>
    <xf numFmtId="179" fontId="1" fillId="0" borderId="1" xfId="0" applyNumberFormat="1" applyFont="1" applyBorder="1"/>
    <xf numFmtId="179" fontId="1" fillId="0" borderId="1" xfId="2" applyNumberFormat="1" applyFont="1" applyBorder="1" applyAlignment="1"/>
    <xf numFmtId="0" fontId="2" fillId="0" borderId="0" xfId="0" applyFont="1" applyBorder="1" applyAlignment="1">
      <alignment horizontal="center"/>
    </xf>
    <xf numFmtId="0" fontId="2" fillId="0" borderId="3" xfId="0" applyFont="1" applyBorder="1" applyAlignment="1">
      <alignment horizontal="center"/>
    </xf>
    <xf numFmtId="0" fontId="3" fillId="0" borderId="0" xfId="0" applyFont="1" applyAlignment="1"/>
    <xf numFmtId="0" fontId="3" fillId="14" borderId="3" xfId="0" applyFont="1" applyFill="1" applyBorder="1" applyAlignment="1">
      <alignment horizontal="center"/>
    </xf>
    <xf numFmtId="0" fontId="2" fillId="12" borderId="1" xfId="0" applyFont="1" applyFill="1" applyBorder="1"/>
    <xf numFmtId="0" fontId="2" fillId="4" borderId="1" xfId="0" applyFont="1" applyFill="1" applyBorder="1"/>
    <xf numFmtId="0" fontId="2" fillId="13" borderId="2" xfId="0" applyFont="1" applyFill="1" applyBorder="1"/>
    <xf numFmtId="0" fontId="3" fillId="0" borderId="3" xfId="0" applyFont="1" applyBorder="1" applyAlignment="1">
      <alignment horizontal="center"/>
    </xf>
    <xf numFmtId="0" fontId="2" fillId="0" borderId="1" xfId="0" applyFont="1" applyBorder="1"/>
    <xf numFmtId="179" fontId="2" fillId="0" borderId="2" xfId="2" applyNumberFormat="1" applyFont="1" applyBorder="1"/>
    <xf numFmtId="179" fontId="3" fillId="0" borderId="3" xfId="0" applyNumberFormat="1" applyFont="1" applyBorder="1" applyAlignment="1">
      <alignment horizontal="center"/>
    </xf>
    <xf numFmtId="0" fontId="2" fillId="0" borderId="4" xfId="0" applyFont="1" applyBorder="1"/>
    <xf numFmtId="179" fontId="2" fillId="0" borderId="5" xfId="2" applyNumberFormat="1" applyFont="1" applyBorder="1"/>
    <xf numFmtId="0" fontId="3" fillId="0" borderId="3" xfId="0" applyFont="1" applyBorder="1" applyAlignment="1"/>
    <xf numFmtId="179" fontId="3" fillId="0" borderId="3" xfId="0" applyNumberFormat="1" applyFont="1" applyBorder="1" applyAlignment="1"/>
    <xf numFmtId="0" fontId="3" fillId="18" borderId="3" xfId="0" applyFont="1" applyFill="1" applyBorder="1" applyAlignment="1">
      <alignment horizontal="center"/>
    </xf>
    <xf numFmtId="179" fontId="3" fillId="0" borderId="0" xfId="0" applyNumberFormat="1" applyFont="1" applyAlignment="1"/>
    <xf numFmtId="0" fontId="3" fillId="7" borderId="3" xfId="0" applyFont="1" applyFill="1" applyBorder="1" applyAlignment="1">
      <alignment horizontal="center"/>
    </xf>
    <xf numFmtId="179" fontId="3" fillId="0" borderId="3" xfId="2" applyNumberFormat="1" applyFont="1" applyBorder="1" applyAlignment="1">
      <alignment horizontal="center"/>
    </xf>
    <xf numFmtId="0" fontId="3" fillId="0" borderId="0" xfId="0" applyFont="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vertical="center" wrapText="1"/>
    </xf>
    <xf numFmtId="1" fontId="5" fillId="20" borderId="1" xfId="0" applyNumberFormat="1" applyFont="1" applyFill="1" applyBorder="1" applyAlignment="1">
      <alignment horizontal="center" vertical="center" shrinkToFit="1"/>
    </xf>
    <xf numFmtId="0" fontId="4" fillId="20"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80" fontId="3" fillId="0" borderId="1" xfId="0" applyNumberFormat="1" applyFont="1" applyFill="1" applyBorder="1" applyAlignment="1">
      <alignment horizontal="center" vertical="center" shrinkToFit="1"/>
    </xf>
    <xf numFmtId="0" fontId="3" fillId="0" borderId="1" xfId="0" applyFont="1" applyFill="1" applyBorder="1" applyAlignment="1">
      <alignment horizontal="center" vertical="center" wrapText="1"/>
    </xf>
    <xf numFmtId="1" fontId="5" fillId="21" borderId="1" xfId="0" applyNumberFormat="1" applyFont="1" applyFill="1" applyBorder="1" applyAlignment="1">
      <alignment horizontal="center" vertical="center" shrinkToFit="1"/>
    </xf>
    <xf numFmtId="0" fontId="3" fillId="21"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1" fillId="22" borderId="1" xfId="0" applyFont="1" applyFill="1" applyBorder="1" applyAlignment="1">
      <alignment horizontal="center" vertical="center"/>
    </xf>
    <xf numFmtId="0" fontId="1" fillId="0" borderId="0" xfId="0" applyFont="1" applyAlignment="1">
      <alignment horizontal="center"/>
    </xf>
    <xf numFmtId="0" fontId="1" fillId="0" borderId="1" xfId="0" applyFont="1" applyBorder="1" applyAlignment="1">
      <alignment horizontal="center"/>
    </xf>
    <xf numFmtId="179" fontId="1" fillId="0" borderId="1" xfId="2" applyNumberFormat="1" applyFont="1" applyBorder="1" applyAlignment="1">
      <alignment horizontal="center" vertical="center"/>
    </xf>
    <xf numFmtId="0" fontId="2" fillId="0" borderId="1" xfId="0" applyFont="1" applyBorder="1" applyAlignment="1">
      <alignment horizont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tabSelected="1" workbookViewId="0">
      <selection activeCell="B7" sqref="B7"/>
    </sheetView>
  </sheetViews>
  <sheetFormatPr defaultColWidth="12.5714285714286" defaultRowHeight="15.75" customHeight="1"/>
  <cols>
    <col min="1" max="1" width="31" customWidth="1"/>
    <col min="2" max="2" width="21.2857142857143" customWidth="1"/>
  </cols>
  <sheetData>
    <row r="1" customHeight="1" spans="1:25">
      <c r="A1" s="58" t="s">
        <v>0</v>
      </c>
      <c r="B1" s="96" t="s">
        <v>1</v>
      </c>
      <c r="C1" s="97"/>
      <c r="D1" s="97"/>
      <c r="E1" s="97"/>
      <c r="F1" s="97"/>
      <c r="G1" s="97"/>
      <c r="H1" s="97"/>
      <c r="I1" s="97"/>
      <c r="J1" s="97"/>
      <c r="K1" s="97"/>
      <c r="L1" s="97"/>
      <c r="M1" s="97"/>
      <c r="N1" s="97"/>
      <c r="O1" s="97"/>
      <c r="P1" s="97"/>
      <c r="Q1" s="97"/>
      <c r="R1" s="97"/>
      <c r="S1" s="97"/>
      <c r="T1" s="97"/>
      <c r="U1" s="97"/>
      <c r="V1" s="97"/>
      <c r="W1" s="97"/>
      <c r="X1" s="97"/>
      <c r="Y1" s="97"/>
    </row>
    <row r="2" customHeight="1" spans="1:25">
      <c r="A2" s="98" t="s">
        <v>2</v>
      </c>
      <c r="B2" s="99">
        <f>'Recursos Humanos.'!G5</f>
        <v>7500000</v>
      </c>
      <c r="C2" s="97"/>
      <c r="D2" s="97"/>
      <c r="E2" s="97"/>
      <c r="F2" s="97"/>
      <c r="G2" s="97"/>
      <c r="H2" s="97"/>
      <c r="I2" s="97"/>
      <c r="J2" s="97"/>
      <c r="K2" s="97"/>
      <c r="L2" s="97"/>
      <c r="M2" s="97"/>
      <c r="N2" s="97"/>
      <c r="O2" s="97"/>
      <c r="P2" s="97"/>
      <c r="Q2" s="97"/>
      <c r="R2" s="97"/>
      <c r="S2" s="97"/>
      <c r="T2" s="97"/>
      <c r="U2" s="97"/>
      <c r="V2" s="97"/>
      <c r="W2" s="97"/>
      <c r="X2" s="97"/>
      <c r="Y2" s="97"/>
    </row>
    <row r="3" customHeight="1" spans="1:25">
      <c r="A3" s="100" t="s">
        <v>3</v>
      </c>
      <c r="B3" s="99">
        <f>'Gastos Administrativos.'!B12</f>
        <v>10800000</v>
      </c>
      <c r="C3" s="97"/>
      <c r="D3" s="97"/>
      <c r="E3" s="97"/>
      <c r="F3" s="97"/>
      <c r="G3" s="97"/>
      <c r="H3" s="97"/>
      <c r="I3" s="97"/>
      <c r="J3" s="97"/>
      <c r="K3" s="97"/>
      <c r="L3" s="97"/>
      <c r="M3" s="97"/>
      <c r="N3" s="97"/>
      <c r="O3" s="97"/>
      <c r="P3" s="97"/>
      <c r="Q3" s="97"/>
      <c r="R3" s="97"/>
      <c r="S3" s="97"/>
      <c r="T3" s="97"/>
      <c r="U3" s="97"/>
      <c r="V3" s="97"/>
      <c r="W3" s="97"/>
      <c r="X3" s="97"/>
      <c r="Y3" s="97"/>
    </row>
    <row r="4" customHeight="1" spans="1:25">
      <c r="A4" s="98" t="s">
        <v>4</v>
      </c>
      <c r="B4" s="99">
        <f>Software.!E5</f>
        <v>6606000</v>
      </c>
      <c r="C4" s="97"/>
      <c r="D4" s="97"/>
      <c r="E4" s="97"/>
      <c r="F4" s="97"/>
      <c r="G4" s="97"/>
      <c r="H4" s="97"/>
      <c r="I4" s="97"/>
      <c r="J4" s="97"/>
      <c r="K4" s="97"/>
      <c r="L4" s="97"/>
      <c r="M4" s="97"/>
      <c r="N4" s="97"/>
      <c r="O4" s="97"/>
      <c r="P4" s="97"/>
      <c r="Q4" s="97"/>
      <c r="R4" s="97"/>
      <c r="S4" s="97"/>
      <c r="T4" s="97"/>
      <c r="U4" s="97"/>
      <c r="V4" s="97"/>
      <c r="W4" s="97"/>
      <c r="X4" s="97"/>
      <c r="Y4" s="97"/>
    </row>
    <row r="5" customHeight="1" spans="1:25">
      <c r="A5" s="98" t="s">
        <v>5</v>
      </c>
      <c r="B5" s="99">
        <f>Hadware.!C7</f>
        <v>1687500</v>
      </c>
      <c r="C5" s="97"/>
      <c r="D5" s="97"/>
      <c r="E5" s="97"/>
      <c r="F5" s="97"/>
      <c r="G5" s="97"/>
      <c r="H5" s="97"/>
      <c r="I5" s="97"/>
      <c r="J5" s="97"/>
      <c r="K5" s="97"/>
      <c r="L5" s="97"/>
      <c r="M5" s="97"/>
      <c r="N5" s="97"/>
      <c r="O5" s="97"/>
      <c r="P5" s="97"/>
      <c r="Q5" s="97"/>
      <c r="R5" s="97"/>
      <c r="S5" s="97"/>
      <c r="T5" s="97"/>
      <c r="U5" s="97"/>
      <c r="V5" s="97"/>
      <c r="W5" s="97"/>
      <c r="X5" s="97"/>
      <c r="Y5" s="97"/>
    </row>
    <row r="6" customHeight="1" spans="1:25">
      <c r="A6" s="98" t="s">
        <v>6</v>
      </c>
      <c r="B6" s="99">
        <f>'Gastos Administrativos.'!D16</f>
        <v>10000000</v>
      </c>
      <c r="C6" s="97"/>
      <c r="D6" s="97"/>
      <c r="E6" s="97"/>
      <c r="F6" s="97"/>
      <c r="G6" s="97"/>
      <c r="H6" s="97"/>
      <c r="I6" s="97"/>
      <c r="J6" s="97"/>
      <c r="K6" s="97"/>
      <c r="L6" s="97"/>
      <c r="M6" s="97"/>
      <c r="N6" s="97"/>
      <c r="O6" s="97"/>
      <c r="P6" s="97"/>
      <c r="Q6" s="97"/>
      <c r="R6" s="97"/>
      <c r="S6" s="97"/>
      <c r="T6" s="97"/>
      <c r="U6" s="97"/>
      <c r="V6" s="97"/>
      <c r="W6" s="97"/>
      <c r="X6" s="97"/>
      <c r="Y6" s="97"/>
    </row>
    <row r="7" customHeight="1" spans="1:25">
      <c r="A7" s="98" t="s">
        <v>7</v>
      </c>
      <c r="B7" s="99">
        <f>SUM(B2:B6)</f>
        <v>36593500</v>
      </c>
      <c r="C7" s="97"/>
      <c r="D7" s="97"/>
      <c r="E7" s="97"/>
      <c r="F7" s="97"/>
      <c r="G7" s="97"/>
      <c r="H7" s="97"/>
      <c r="I7" s="97"/>
      <c r="J7" s="97"/>
      <c r="K7" s="97"/>
      <c r="L7" s="97"/>
      <c r="M7" s="97"/>
      <c r="N7" s="97"/>
      <c r="O7" s="97"/>
      <c r="P7" s="97"/>
      <c r="Q7" s="97"/>
      <c r="R7" s="97"/>
      <c r="S7" s="97"/>
      <c r="T7" s="97"/>
      <c r="U7" s="97"/>
      <c r="V7" s="97"/>
      <c r="W7" s="97"/>
      <c r="X7" s="97"/>
      <c r="Y7" s="97"/>
    </row>
    <row r="8" customHeight="1" spans="1:25">
      <c r="A8" s="97"/>
      <c r="B8" s="97"/>
      <c r="C8" s="97"/>
      <c r="D8" s="97"/>
      <c r="E8" s="97"/>
      <c r="F8" s="97"/>
      <c r="G8" s="97"/>
      <c r="H8" s="97"/>
      <c r="I8" s="97"/>
      <c r="J8" s="97"/>
      <c r="K8" s="97"/>
      <c r="L8" s="97"/>
      <c r="M8" s="97"/>
      <c r="N8" s="97"/>
      <c r="O8" s="97"/>
      <c r="P8" s="97"/>
      <c r="Q8" s="97"/>
      <c r="R8" s="97"/>
      <c r="S8" s="97"/>
      <c r="T8" s="97"/>
      <c r="U8" s="97"/>
      <c r="V8" s="97"/>
      <c r="W8" s="97"/>
      <c r="X8" s="97"/>
      <c r="Y8" s="97"/>
    </row>
    <row r="9" customHeight="1" spans="1:25">
      <c r="A9" s="97"/>
      <c r="B9" s="97"/>
      <c r="C9" s="97"/>
      <c r="D9" s="97"/>
      <c r="E9" s="97"/>
      <c r="F9" s="97"/>
      <c r="G9" s="97"/>
      <c r="H9" s="97"/>
      <c r="I9" s="97"/>
      <c r="J9" s="97"/>
      <c r="K9" s="97"/>
      <c r="L9" s="97"/>
      <c r="M9" s="97"/>
      <c r="N9" s="97"/>
      <c r="O9" s="97"/>
      <c r="P9" s="97"/>
      <c r="Q9" s="97"/>
      <c r="R9" s="97"/>
      <c r="S9" s="97"/>
      <c r="T9" s="97"/>
      <c r="U9" s="97"/>
      <c r="V9" s="97"/>
      <c r="W9" s="97"/>
      <c r="X9" s="97"/>
      <c r="Y9" s="97"/>
    </row>
    <row r="10" customHeight="1" spans="1:25">
      <c r="A10" s="97"/>
      <c r="B10" s="97"/>
      <c r="C10" s="97"/>
      <c r="D10" s="97"/>
      <c r="E10" s="97"/>
      <c r="F10" s="97"/>
      <c r="G10" s="97"/>
      <c r="H10" s="97"/>
      <c r="I10" s="97"/>
      <c r="J10" s="97"/>
      <c r="K10" s="97"/>
      <c r="L10" s="97"/>
      <c r="M10" s="97"/>
      <c r="N10" s="97"/>
      <c r="O10" s="97"/>
      <c r="P10" s="97"/>
      <c r="Q10" s="97"/>
      <c r="R10" s="97"/>
      <c r="S10" s="97"/>
      <c r="T10" s="97"/>
      <c r="U10" s="97"/>
      <c r="V10" s="97"/>
      <c r="W10" s="97"/>
      <c r="X10" s="97"/>
      <c r="Y10" s="97"/>
    </row>
    <row r="11" customHeight="1" spans="1:25">
      <c r="A11" s="97"/>
      <c r="B11" s="97"/>
      <c r="C11" s="97"/>
      <c r="D11" s="97"/>
      <c r="E11" s="97"/>
      <c r="F11" s="97"/>
      <c r="G11" s="97"/>
      <c r="H11" s="97"/>
      <c r="I11" s="97"/>
      <c r="J11" s="97"/>
      <c r="K11" s="97"/>
      <c r="L11" s="97"/>
      <c r="M11" s="97"/>
      <c r="N11" s="97"/>
      <c r="O11" s="97"/>
      <c r="P11" s="97"/>
      <c r="Q11" s="97"/>
      <c r="R11" s="97"/>
      <c r="S11" s="97"/>
      <c r="T11" s="97"/>
      <c r="U11" s="97"/>
      <c r="V11" s="97"/>
      <c r="W11" s="97"/>
      <c r="X11" s="97"/>
      <c r="Y11" s="97"/>
    </row>
    <row r="12" customHeight="1" spans="1:25">
      <c r="A12" s="97"/>
      <c r="B12" s="97"/>
      <c r="C12" s="97"/>
      <c r="D12" s="97"/>
      <c r="E12" s="97"/>
      <c r="F12" s="97"/>
      <c r="G12" s="97"/>
      <c r="H12" s="97"/>
      <c r="I12" s="97"/>
      <c r="J12" s="97"/>
      <c r="K12" s="97"/>
      <c r="L12" s="97"/>
      <c r="M12" s="97"/>
      <c r="N12" s="97"/>
      <c r="O12" s="97"/>
      <c r="P12" s="97"/>
      <c r="Q12" s="97"/>
      <c r="R12" s="97"/>
      <c r="S12" s="97"/>
      <c r="T12" s="97"/>
      <c r="U12" s="97"/>
      <c r="V12" s="97"/>
      <c r="W12" s="97"/>
      <c r="X12" s="97"/>
      <c r="Y12" s="97"/>
    </row>
    <row r="13" customHeight="1" spans="1:25">
      <c r="A13" s="97"/>
      <c r="B13" s="97"/>
      <c r="C13" s="97"/>
      <c r="D13" s="97"/>
      <c r="E13" s="97"/>
      <c r="F13" s="97"/>
      <c r="G13" s="97"/>
      <c r="H13" s="97"/>
      <c r="I13" s="97"/>
      <c r="J13" s="97"/>
      <c r="K13" s="97"/>
      <c r="L13" s="97"/>
      <c r="M13" s="97"/>
      <c r="N13" s="97"/>
      <c r="O13" s="97"/>
      <c r="P13" s="97"/>
      <c r="Q13" s="97"/>
      <c r="R13" s="97"/>
      <c r="S13" s="97"/>
      <c r="T13" s="97"/>
      <c r="U13" s="97"/>
      <c r="V13" s="97"/>
      <c r="W13" s="97"/>
      <c r="X13" s="97"/>
      <c r="Y13" s="97"/>
    </row>
    <row r="14" customHeight="1" spans="1:25">
      <c r="A14" s="97"/>
      <c r="B14" s="97"/>
      <c r="C14" s="97"/>
      <c r="D14" s="97"/>
      <c r="E14" s="97"/>
      <c r="F14" s="97"/>
      <c r="G14" s="97"/>
      <c r="H14" s="97"/>
      <c r="I14" s="97"/>
      <c r="J14" s="97"/>
      <c r="K14" s="97"/>
      <c r="L14" s="97"/>
      <c r="M14" s="97"/>
      <c r="N14" s="97"/>
      <c r="O14" s="97"/>
      <c r="P14" s="97"/>
      <c r="Q14" s="97"/>
      <c r="R14" s="97"/>
      <c r="S14" s="97"/>
      <c r="T14" s="97"/>
      <c r="U14" s="97"/>
      <c r="V14" s="97"/>
      <c r="W14" s="97"/>
      <c r="X14" s="97"/>
      <c r="Y14" s="97"/>
    </row>
    <row r="15" customHeight="1" spans="1:25">
      <c r="A15" s="97"/>
      <c r="B15" s="97"/>
      <c r="C15" s="97"/>
      <c r="D15" s="97"/>
      <c r="E15" s="97"/>
      <c r="F15" s="97"/>
      <c r="G15" s="97"/>
      <c r="H15" s="97"/>
      <c r="I15" s="97"/>
      <c r="J15" s="97"/>
      <c r="K15" s="97"/>
      <c r="L15" s="97"/>
      <c r="M15" s="97"/>
      <c r="N15" s="97"/>
      <c r="O15" s="97"/>
      <c r="P15" s="97"/>
      <c r="Q15" s="97"/>
      <c r="R15" s="97"/>
      <c r="S15" s="97"/>
      <c r="T15" s="97"/>
      <c r="U15" s="97"/>
      <c r="V15" s="97"/>
      <c r="W15" s="97"/>
      <c r="X15" s="97"/>
      <c r="Y15" s="97"/>
    </row>
    <row r="16" customHeight="1" spans="1:25">
      <c r="A16" s="97"/>
      <c r="B16" s="97"/>
      <c r="C16" s="97"/>
      <c r="D16" s="97"/>
      <c r="E16" s="97"/>
      <c r="F16" s="97"/>
      <c r="G16" s="97"/>
      <c r="H16" s="97"/>
      <c r="I16" s="97"/>
      <c r="J16" s="97"/>
      <c r="K16" s="97"/>
      <c r="L16" s="97"/>
      <c r="M16" s="97"/>
      <c r="N16" s="97"/>
      <c r="O16" s="97"/>
      <c r="P16" s="97"/>
      <c r="Q16" s="97"/>
      <c r="R16" s="97"/>
      <c r="S16" s="97"/>
      <c r="T16" s="97"/>
      <c r="U16" s="97"/>
      <c r="V16" s="97"/>
      <c r="W16" s="97"/>
      <c r="X16" s="97"/>
      <c r="Y16" s="97"/>
    </row>
    <row r="17" customHeight="1" spans="1:25">
      <c r="A17" s="97"/>
      <c r="B17" s="97"/>
      <c r="C17" s="97"/>
      <c r="D17" s="97"/>
      <c r="E17" s="97"/>
      <c r="F17" s="97"/>
      <c r="G17" s="97"/>
      <c r="H17" s="97"/>
      <c r="I17" s="97"/>
      <c r="J17" s="97"/>
      <c r="K17" s="97"/>
      <c r="L17" s="97"/>
      <c r="M17" s="97"/>
      <c r="N17" s="97"/>
      <c r="O17" s="97"/>
      <c r="P17" s="97"/>
      <c r="Q17" s="97"/>
      <c r="R17" s="97"/>
      <c r="S17" s="97"/>
      <c r="T17" s="97"/>
      <c r="U17" s="97"/>
      <c r="V17" s="97"/>
      <c r="W17" s="97"/>
      <c r="X17" s="97"/>
      <c r="Y17" s="97"/>
    </row>
    <row r="18" customHeight="1" spans="1:25">
      <c r="A18" s="97"/>
      <c r="B18" s="97"/>
      <c r="C18" s="97"/>
      <c r="D18" s="97"/>
      <c r="E18" s="97"/>
      <c r="F18" s="97"/>
      <c r="G18" s="97"/>
      <c r="H18" s="97"/>
      <c r="I18" s="97"/>
      <c r="J18" s="97"/>
      <c r="K18" s="97"/>
      <c r="L18" s="97"/>
      <c r="M18" s="97"/>
      <c r="N18" s="97"/>
      <c r="O18" s="97"/>
      <c r="P18" s="97"/>
      <c r="Q18" s="97"/>
      <c r="R18" s="97"/>
      <c r="S18" s="97"/>
      <c r="T18" s="97"/>
      <c r="U18" s="97"/>
      <c r="V18" s="97"/>
      <c r="W18" s="97"/>
      <c r="X18" s="97"/>
      <c r="Y18" s="97"/>
    </row>
    <row r="19" customHeight="1" spans="1:25">
      <c r="A19" s="97"/>
      <c r="B19" s="97"/>
      <c r="C19" s="97"/>
      <c r="D19" s="97"/>
      <c r="E19" s="97"/>
      <c r="F19" s="97"/>
      <c r="G19" s="97"/>
      <c r="H19" s="97"/>
      <c r="I19" s="97"/>
      <c r="J19" s="97"/>
      <c r="K19" s="97"/>
      <c r="L19" s="97"/>
      <c r="M19" s="97"/>
      <c r="N19" s="97"/>
      <c r="O19" s="97"/>
      <c r="P19" s="97"/>
      <c r="Q19" s="97"/>
      <c r="R19" s="97"/>
      <c r="S19" s="97"/>
      <c r="T19" s="97"/>
      <c r="U19" s="97"/>
      <c r="V19" s="97"/>
      <c r="W19" s="97"/>
      <c r="X19" s="97"/>
      <c r="Y19" s="97"/>
    </row>
    <row r="20" customHeight="1" spans="1:25">
      <c r="A20" s="97"/>
      <c r="B20" s="97"/>
      <c r="C20" s="97"/>
      <c r="D20" s="97"/>
      <c r="E20" s="97"/>
      <c r="F20" s="97"/>
      <c r="G20" s="97"/>
      <c r="H20" s="97"/>
      <c r="I20" s="97"/>
      <c r="J20" s="97"/>
      <c r="K20" s="97"/>
      <c r="L20" s="97"/>
      <c r="M20" s="97"/>
      <c r="N20" s="97"/>
      <c r="O20" s="97"/>
      <c r="P20" s="97"/>
      <c r="Q20" s="97"/>
      <c r="R20" s="97"/>
      <c r="S20" s="97"/>
      <c r="T20" s="97"/>
      <c r="U20" s="97"/>
      <c r="V20" s="97"/>
      <c r="W20" s="97"/>
      <c r="X20" s="97"/>
      <c r="Y20" s="97"/>
    </row>
    <row r="21" customHeight="1" spans="1:25">
      <c r="A21" s="97"/>
      <c r="B21" s="97"/>
      <c r="C21" s="97"/>
      <c r="D21" s="97"/>
      <c r="E21" s="97"/>
      <c r="F21" s="97"/>
      <c r="G21" s="97"/>
      <c r="H21" s="97"/>
      <c r="I21" s="97"/>
      <c r="J21" s="97"/>
      <c r="K21" s="97"/>
      <c r="L21" s="97"/>
      <c r="M21" s="97"/>
      <c r="N21" s="97"/>
      <c r="O21" s="97"/>
      <c r="P21" s="97"/>
      <c r="Q21" s="97"/>
      <c r="R21" s="97"/>
      <c r="S21" s="97"/>
      <c r="T21" s="97"/>
      <c r="U21" s="97"/>
      <c r="V21" s="97"/>
      <c r="W21" s="97"/>
      <c r="X21" s="97"/>
      <c r="Y21" s="97"/>
    </row>
    <row r="22" customHeight="1" spans="1:25">
      <c r="A22" s="97"/>
      <c r="B22" s="97"/>
      <c r="C22" s="97"/>
      <c r="D22" s="97"/>
      <c r="E22" s="97"/>
      <c r="F22" s="97"/>
      <c r="G22" s="97"/>
      <c r="H22" s="97"/>
      <c r="I22" s="97"/>
      <c r="J22" s="97"/>
      <c r="K22" s="97"/>
      <c r="L22" s="97"/>
      <c r="M22" s="97"/>
      <c r="N22" s="97"/>
      <c r="O22" s="97"/>
      <c r="P22" s="97"/>
      <c r="Q22" s="97"/>
      <c r="R22" s="97"/>
      <c r="S22" s="97"/>
      <c r="T22" s="97"/>
      <c r="U22" s="97"/>
      <c r="V22" s="97"/>
      <c r="W22" s="97"/>
      <c r="X22" s="97"/>
      <c r="Y22" s="97"/>
    </row>
    <row r="23" customHeight="1" spans="1:25">
      <c r="A23" s="97"/>
      <c r="B23" s="97"/>
      <c r="C23" s="97"/>
      <c r="D23" s="97"/>
      <c r="E23" s="97"/>
      <c r="F23" s="97"/>
      <c r="G23" s="97"/>
      <c r="H23" s="97"/>
      <c r="I23" s="97"/>
      <c r="J23" s="97"/>
      <c r="K23" s="97"/>
      <c r="L23" s="97"/>
      <c r="M23" s="97"/>
      <c r="N23" s="97"/>
      <c r="O23" s="97"/>
      <c r="P23" s="97"/>
      <c r="Q23" s="97"/>
      <c r="R23" s="97"/>
      <c r="S23" s="97"/>
      <c r="T23" s="97"/>
      <c r="U23" s="97"/>
      <c r="V23" s="97"/>
      <c r="W23" s="97"/>
      <c r="X23" s="97"/>
      <c r="Y23" s="97"/>
    </row>
    <row r="24" spans="1:25">
      <c r="A24" s="97"/>
      <c r="B24" s="97"/>
      <c r="C24" s="97"/>
      <c r="D24" s="97"/>
      <c r="E24" s="97"/>
      <c r="F24" s="97"/>
      <c r="G24" s="97"/>
      <c r="H24" s="97"/>
      <c r="I24" s="97"/>
      <c r="J24" s="97"/>
      <c r="K24" s="97"/>
      <c r="L24" s="97"/>
      <c r="M24" s="97"/>
      <c r="N24" s="97"/>
      <c r="O24" s="97"/>
      <c r="P24" s="97"/>
      <c r="Q24" s="97"/>
      <c r="R24" s="97"/>
      <c r="S24" s="97"/>
      <c r="T24" s="97"/>
      <c r="U24" s="97"/>
      <c r="V24" s="97"/>
      <c r="W24" s="97"/>
      <c r="X24" s="97"/>
      <c r="Y24" s="97"/>
    </row>
    <row r="25" spans="1:25">
      <c r="A25" s="97"/>
      <c r="B25" s="97"/>
      <c r="C25" s="97"/>
      <c r="D25" s="97"/>
      <c r="E25" s="97"/>
      <c r="F25" s="97"/>
      <c r="G25" s="97"/>
      <c r="H25" s="97"/>
      <c r="I25" s="97"/>
      <c r="J25" s="97"/>
      <c r="K25" s="97"/>
      <c r="L25" s="97"/>
      <c r="M25" s="97"/>
      <c r="N25" s="97"/>
      <c r="O25" s="97"/>
      <c r="P25" s="97"/>
      <c r="Q25" s="97"/>
      <c r="R25" s="97"/>
      <c r="S25" s="97"/>
      <c r="T25" s="97"/>
      <c r="U25" s="97"/>
      <c r="V25" s="97"/>
      <c r="W25" s="97"/>
      <c r="X25" s="97"/>
      <c r="Y25" s="97"/>
    </row>
    <row r="26" spans="1:25">
      <c r="A26" s="97"/>
      <c r="B26" s="97"/>
      <c r="C26" s="97"/>
      <c r="D26" s="97"/>
      <c r="E26" s="97"/>
      <c r="F26" s="97"/>
      <c r="G26" s="97"/>
      <c r="H26" s="97"/>
      <c r="I26" s="97"/>
      <c r="J26" s="97"/>
      <c r="K26" s="97"/>
      <c r="L26" s="97"/>
      <c r="M26" s="97"/>
      <c r="N26" s="97"/>
      <c r="O26" s="97"/>
      <c r="P26" s="97"/>
      <c r="Q26" s="97"/>
      <c r="R26" s="97"/>
      <c r="S26" s="97"/>
      <c r="T26" s="97"/>
      <c r="U26" s="97"/>
      <c r="V26" s="97"/>
      <c r="W26" s="97"/>
      <c r="X26" s="97"/>
      <c r="Y26" s="97"/>
    </row>
    <row r="27" spans="1:25">
      <c r="A27" s="97"/>
      <c r="B27" s="97"/>
      <c r="C27" s="97"/>
      <c r="D27" s="97"/>
      <c r="E27" s="97"/>
      <c r="F27" s="97"/>
      <c r="G27" s="97"/>
      <c r="H27" s="97"/>
      <c r="I27" s="97"/>
      <c r="J27" s="97"/>
      <c r="K27" s="97"/>
      <c r="L27" s="97"/>
      <c r="M27" s="97"/>
      <c r="N27" s="97"/>
      <c r="O27" s="97"/>
      <c r="P27" s="97"/>
      <c r="Q27" s="97"/>
      <c r="R27" s="97"/>
      <c r="S27" s="97"/>
      <c r="T27" s="97"/>
      <c r="U27" s="97"/>
      <c r="V27" s="97"/>
      <c r="W27" s="97"/>
      <c r="X27" s="97"/>
      <c r="Y27" s="97"/>
    </row>
    <row r="28" spans="1:25">
      <c r="A28" s="97"/>
      <c r="B28" s="97"/>
      <c r="C28" s="97"/>
      <c r="D28" s="97"/>
      <c r="E28" s="97"/>
      <c r="F28" s="97"/>
      <c r="G28" s="97"/>
      <c r="H28" s="97"/>
      <c r="I28" s="97"/>
      <c r="J28" s="97"/>
      <c r="K28" s="97"/>
      <c r="L28" s="97"/>
      <c r="M28" s="97"/>
      <c r="N28" s="97"/>
      <c r="O28" s="97"/>
      <c r="P28" s="97"/>
      <c r="Q28" s="97"/>
      <c r="R28" s="97"/>
      <c r="S28" s="97"/>
      <c r="T28" s="97"/>
      <c r="U28" s="97"/>
      <c r="V28" s="97"/>
      <c r="W28" s="97"/>
      <c r="X28" s="97"/>
      <c r="Y28" s="97"/>
    </row>
    <row r="29" spans="1:25">
      <c r="A29" s="97"/>
      <c r="B29" s="97"/>
      <c r="C29" s="97"/>
      <c r="D29" s="97"/>
      <c r="E29" s="97"/>
      <c r="F29" s="97"/>
      <c r="G29" s="97"/>
      <c r="H29" s="97"/>
      <c r="I29" s="97"/>
      <c r="J29" s="97"/>
      <c r="K29" s="97"/>
      <c r="L29" s="97"/>
      <c r="M29" s="97"/>
      <c r="N29" s="97"/>
      <c r="O29" s="97"/>
      <c r="P29" s="97"/>
      <c r="Q29" s="97"/>
      <c r="R29" s="97"/>
      <c r="S29" s="97"/>
      <c r="T29" s="97"/>
      <c r="U29" s="97"/>
      <c r="V29" s="97"/>
      <c r="W29" s="97"/>
      <c r="X29" s="97"/>
      <c r="Y29" s="97"/>
    </row>
    <row r="30" spans="1:25">
      <c r="A30" s="97"/>
      <c r="B30" s="97"/>
      <c r="C30" s="97"/>
      <c r="D30" s="97"/>
      <c r="E30" s="97"/>
      <c r="F30" s="97"/>
      <c r="G30" s="97"/>
      <c r="H30" s="97"/>
      <c r="I30" s="97"/>
      <c r="J30" s="97"/>
      <c r="K30" s="97"/>
      <c r="L30" s="97"/>
      <c r="M30" s="97"/>
      <c r="N30" s="97"/>
      <c r="O30" s="97"/>
      <c r="P30" s="97"/>
      <c r="Q30" s="97"/>
      <c r="R30" s="97"/>
      <c r="S30" s="97"/>
      <c r="T30" s="97"/>
      <c r="U30" s="97"/>
      <c r="V30" s="97"/>
      <c r="W30" s="97"/>
      <c r="X30" s="97"/>
      <c r="Y30" s="97"/>
    </row>
    <row r="31" spans="1:25">
      <c r="A31" s="97"/>
      <c r="B31" s="97"/>
      <c r="C31" s="97"/>
      <c r="D31" s="97"/>
      <c r="E31" s="97"/>
      <c r="F31" s="97"/>
      <c r="G31" s="97"/>
      <c r="H31" s="97"/>
      <c r="I31" s="97"/>
      <c r="J31" s="97"/>
      <c r="K31" s="97"/>
      <c r="L31" s="97"/>
      <c r="M31" s="97"/>
      <c r="N31" s="97"/>
      <c r="O31" s="97"/>
      <c r="P31" s="97"/>
      <c r="Q31" s="97"/>
      <c r="R31" s="97"/>
      <c r="S31" s="97"/>
      <c r="T31" s="97"/>
      <c r="U31" s="97"/>
      <c r="V31" s="97"/>
      <c r="W31" s="97"/>
      <c r="X31" s="97"/>
      <c r="Y31" s="97"/>
    </row>
    <row r="32" spans="1:25">
      <c r="A32" s="97"/>
      <c r="B32" s="97"/>
      <c r="C32" s="97"/>
      <c r="D32" s="97"/>
      <c r="E32" s="97"/>
      <c r="F32" s="97"/>
      <c r="G32" s="97"/>
      <c r="H32" s="97"/>
      <c r="I32" s="97"/>
      <c r="J32" s="97"/>
      <c r="K32" s="97"/>
      <c r="L32" s="97"/>
      <c r="M32" s="97"/>
      <c r="N32" s="97"/>
      <c r="O32" s="97"/>
      <c r="P32" s="97"/>
      <c r="Q32" s="97"/>
      <c r="R32" s="97"/>
      <c r="S32" s="97"/>
      <c r="T32" s="97"/>
      <c r="U32" s="97"/>
      <c r="V32" s="97"/>
      <c r="W32" s="97"/>
      <c r="X32" s="97"/>
      <c r="Y32" s="97"/>
    </row>
    <row r="33" spans="1:25">
      <c r="A33" s="97"/>
      <c r="B33" s="97"/>
      <c r="C33" s="97"/>
      <c r="D33" s="97"/>
      <c r="E33" s="97"/>
      <c r="F33" s="97"/>
      <c r="G33" s="97"/>
      <c r="H33" s="97"/>
      <c r="I33" s="97"/>
      <c r="J33" s="97"/>
      <c r="K33" s="97"/>
      <c r="L33" s="97"/>
      <c r="M33" s="97"/>
      <c r="N33" s="97"/>
      <c r="O33" s="97"/>
      <c r="P33" s="97"/>
      <c r="Q33" s="97"/>
      <c r="R33" s="97"/>
      <c r="S33" s="97"/>
      <c r="T33" s="97"/>
      <c r="U33" s="97"/>
      <c r="V33" s="97"/>
      <c r="W33" s="97"/>
      <c r="X33" s="97"/>
      <c r="Y33" s="97"/>
    </row>
    <row r="34" spans="1:25">
      <c r="A34" s="97"/>
      <c r="B34" s="97"/>
      <c r="C34" s="97"/>
      <c r="D34" s="97"/>
      <c r="E34" s="97"/>
      <c r="F34" s="97"/>
      <c r="G34" s="97"/>
      <c r="H34" s="97"/>
      <c r="I34" s="97"/>
      <c r="J34" s="97"/>
      <c r="K34" s="97"/>
      <c r="L34" s="97"/>
      <c r="M34" s="97"/>
      <c r="N34" s="97"/>
      <c r="O34" s="97"/>
      <c r="P34" s="97"/>
      <c r="Q34" s="97"/>
      <c r="R34" s="97"/>
      <c r="S34" s="97"/>
      <c r="T34" s="97"/>
      <c r="U34" s="97"/>
      <c r="V34" s="97"/>
      <c r="W34" s="97"/>
      <c r="X34" s="97"/>
      <c r="Y34" s="97"/>
    </row>
    <row r="35" spans="1:25">
      <c r="A35" s="97"/>
      <c r="B35" s="97"/>
      <c r="C35" s="97"/>
      <c r="D35" s="97"/>
      <c r="E35" s="97"/>
      <c r="F35" s="97"/>
      <c r="G35" s="97"/>
      <c r="H35" s="97"/>
      <c r="I35" s="97"/>
      <c r="J35" s="97"/>
      <c r="K35" s="97"/>
      <c r="L35" s="97"/>
      <c r="M35" s="97"/>
      <c r="N35" s="97"/>
      <c r="O35" s="97"/>
      <c r="P35" s="97"/>
      <c r="Q35" s="97"/>
      <c r="R35" s="97"/>
      <c r="S35" s="97"/>
      <c r="T35" s="97"/>
      <c r="U35" s="97"/>
      <c r="V35" s="97"/>
      <c r="W35" s="97"/>
      <c r="X35" s="97"/>
      <c r="Y35" s="97"/>
    </row>
    <row r="36" spans="1:25">
      <c r="A36" s="97"/>
      <c r="B36" s="97"/>
      <c r="C36" s="97"/>
      <c r="D36" s="97"/>
      <c r="E36" s="97"/>
      <c r="F36" s="97"/>
      <c r="G36" s="97"/>
      <c r="H36" s="97"/>
      <c r="I36" s="97"/>
      <c r="J36" s="97"/>
      <c r="K36" s="97"/>
      <c r="L36" s="97"/>
      <c r="M36" s="97"/>
      <c r="N36" s="97"/>
      <c r="O36" s="97"/>
      <c r="P36" s="97"/>
      <c r="Q36" s="97"/>
      <c r="R36" s="97"/>
      <c r="S36" s="97"/>
      <c r="T36" s="97"/>
      <c r="U36" s="97"/>
      <c r="V36" s="97"/>
      <c r="W36" s="97"/>
      <c r="X36" s="97"/>
      <c r="Y36" s="97"/>
    </row>
    <row r="37" spans="1:25">
      <c r="A37" s="97"/>
      <c r="B37" s="97"/>
      <c r="C37" s="97"/>
      <c r="D37" s="97"/>
      <c r="E37" s="97"/>
      <c r="F37" s="97"/>
      <c r="G37" s="97"/>
      <c r="H37" s="97"/>
      <c r="I37" s="97"/>
      <c r="J37" s="97"/>
      <c r="K37" s="97"/>
      <c r="L37" s="97"/>
      <c r="M37" s="97"/>
      <c r="N37" s="97"/>
      <c r="O37" s="97"/>
      <c r="P37" s="97"/>
      <c r="Q37" s="97"/>
      <c r="R37" s="97"/>
      <c r="S37" s="97"/>
      <c r="T37" s="97"/>
      <c r="U37" s="97"/>
      <c r="V37" s="97"/>
      <c r="W37" s="97"/>
      <c r="X37" s="97"/>
      <c r="Y37" s="97"/>
    </row>
    <row r="38" spans="1:25">
      <c r="A38" s="97"/>
      <c r="B38" s="97"/>
      <c r="C38" s="97"/>
      <c r="D38" s="97"/>
      <c r="E38" s="97"/>
      <c r="F38" s="97"/>
      <c r="G38" s="97"/>
      <c r="H38" s="97"/>
      <c r="I38" s="97"/>
      <c r="J38" s="97"/>
      <c r="K38" s="97"/>
      <c r="L38" s="97"/>
      <c r="M38" s="97"/>
      <c r="N38" s="97"/>
      <c r="O38" s="97"/>
      <c r="P38" s="97"/>
      <c r="Q38" s="97"/>
      <c r="R38" s="97"/>
      <c r="S38" s="97"/>
      <c r="T38" s="97"/>
      <c r="U38" s="97"/>
      <c r="V38" s="97"/>
      <c r="W38" s="97"/>
      <c r="X38" s="97"/>
      <c r="Y38" s="97"/>
    </row>
    <row r="39" spans="1:25">
      <c r="A39" s="97"/>
      <c r="B39" s="97"/>
      <c r="C39" s="97"/>
      <c r="D39" s="97"/>
      <c r="E39" s="97"/>
      <c r="F39" s="97"/>
      <c r="G39" s="97"/>
      <c r="H39" s="97"/>
      <c r="I39" s="97"/>
      <c r="J39" s="97"/>
      <c r="K39" s="97"/>
      <c r="L39" s="97"/>
      <c r="M39" s="97"/>
      <c r="N39" s="97"/>
      <c r="O39" s="97"/>
      <c r="P39" s="97"/>
      <c r="Q39" s="97"/>
      <c r="R39" s="97"/>
      <c r="S39" s="97"/>
      <c r="T39" s="97"/>
      <c r="U39" s="97"/>
      <c r="V39" s="97"/>
      <c r="W39" s="97"/>
      <c r="X39" s="97"/>
      <c r="Y39" s="97"/>
    </row>
    <row r="40" spans="1:25">
      <c r="A40" s="97"/>
      <c r="B40" s="97"/>
      <c r="C40" s="97"/>
      <c r="D40" s="97"/>
      <c r="E40" s="97"/>
      <c r="F40" s="97"/>
      <c r="G40" s="97"/>
      <c r="H40" s="97"/>
      <c r="I40" s="97"/>
      <c r="J40" s="97"/>
      <c r="K40" s="97"/>
      <c r="L40" s="97"/>
      <c r="M40" s="97"/>
      <c r="N40" s="97"/>
      <c r="O40" s="97"/>
      <c r="P40" s="97"/>
      <c r="Q40" s="97"/>
      <c r="R40" s="97"/>
      <c r="S40" s="97"/>
      <c r="T40" s="97"/>
      <c r="U40" s="97"/>
      <c r="V40" s="97"/>
      <c r="W40" s="97"/>
      <c r="X40" s="97"/>
      <c r="Y40" s="97"/>
    </row>
    <row r="41" spans="1:25">
      <c r="A41" s="97"/>
      <c r="B41" s="97"/>
      <c r="C41" s="97"/>
      <c r="D41" s="97"/>
      <c r="E41" s="97"/>
      <c r="F41" s="97"/>
      <c r="G41" s="97"/>
      <c r="H41" s="97"/>
      <c r="I41" s="97"/>
      <c r="J41" s="97"/>
      <c r="K41" s="97"/>
      <c r="L41" s="97"/>
      <c r="M41" s="97"/>
      <c r="N41" s="97"/>
      <c r="O41" s="97"/>
      <c r="P41" s="97"/>
      <c r="Q41" s="97"/>
      <c r="R41" s="97"/>
      <c r="S41" s="97"/>
      <c r="T41" s="97"/>
      <c r="U41" s="97"/>
      <c r="V41" s="97"/>
      <c r="W41" s="97"/>
      <c r="X41" s="97"/>
      <c r="Y41" s="97"/>
    </row>
    <row r="42" spans="1:25">
      <c r="A42" s="97"/>
      <c r="B42" s="97"/>
      <c r="C42" s="97"/>
      <c r="D42" s="97"/>
      <c r="E42" s="97"/>
      <c r="F42" s="97"/>
      <c r="G42" s="97"/>
      <c r="H42" s="97"/>
      <c r="I42" s="97"/>
      <c r="J42" s="97"/>
      <c r="K42" s="97"/>
      <c r="L42" s="97"/>
      <c r="M42" s="97"/>
      <c r="N42" s="97"/>
      <c r="O42" s="97"/>
      <c r="P42" s="97"/>
      <c r="Q42" s="97"/>
      <c r="R42" s="97"/>
      <c r="S42" s="97"/>
      <c r="T42" s="97"/>
      <c r="U42" s="97"/>
      <c r="V42" s="97"/>
      <c r="W42" s="97"/>
      <c r="X42" s="97"/>
      <c r="Y42" s="97"/>
    </row>
    <row r="43" spans="1:25">
      <c r="A43" s="97"/>
      <c r="B43" s="97"/>
      <c r="C43" s="97"/>
      <c r="D43" s="97"/>
      <c r="E43" s="97"/>
      <c r="F43" s="97"/>
      <c r="G43" s="97"/>
      <c r="H43" s="97"/>
      <c r="I43" s="97"/>
      <c r="J43" s="97"/>
      <c r="K43" s="97"/>
      <c r="L43" s="97"/>
      <c r="M43" s="97"/>
      <c r="N43" s="97"/>
      <c r="O43" s="97"/>
      <c r="P43" s="97"/>
      <c r="Q43" s="97"/>
      <c r="R43" s="97"/>
      <c r="S43" s="97"/>
      <c r="T43" s="97"/>
      <c r="U43" s="97"/>
      <c r="V43" s="97"/>
      <c r="W43" s="97"/>
      <c r="X43" s="97"/>
      <c r="Y43" s="97"/>
    </row>
    <row r="44" spans="1:25">
      <c r="A44" s="97"/>
      <c r="B44" s="97"/>
      <c r="C44" s="97"/>
      <c r="D44" s="97"/>
      <c r="E44" s="97"/>
      <c r="F44" s="97"/>
      <c r="G44" s="97"/>
      <c r="H44" s="97"/>
      <c r="I44" s="97"/>
      <c r="J44" s="97"/>
      <c r="K44" s="97"/>
      <c r="L44" s="97"/>
      <c r="M44" s="97"/>
      <c r="N44" s="97"/>
      <c r="O44" s="97"/>
      <c r="P44" s="97"/>
      <c r="Q44" s="97"/>
      <c r="R44" s="97"/>
      <c r="S44" s="97"/>
      <c r="T44" s="97"/>
      <c r="U44" s="97"/>
      <c r="V44" s="97"/>
      <c r="W44" s="97"/>
      <c r="X44" s="97"/>
      <c r="Y44" s="97"/>
    </row>
    <row r="45" spans="1:25">
      <c r="A45" s="97"/>
      <c r="B45" s="97"/>
      <c r="C45" s="97"/>
      <c r="D45" s="97"/>
      <c r="E45" s="97"/>
      <c r="F45" s="97"/>
      <c r="G45" s="97"/>
      <c r="H45" s="97"/>
      <c r="I45" s="97"/>
      <c r="J45" s="97"/>
      <c r="K45" s="97"/>
      <c r="L45" s="97"/>
      <c r="M45" s="97"/>
      <c r="N45" s="97"/>
      <c r="O45" s="97"/>
      <c r="P45" s="97"/>
      <c r="Q45" s="97"/>
      <c r="R45" s="97"/>
      <c r="S45" s="97"/>
      <c r="T45" s="97"/>
      <c r="U45" s="97"/>
      <c r="V45" s="97"/>
      <c r="W45" s="97"/>
      <c r="X45" s="97"/>
      <c r="Y45" s="97"/>
    </row>
    <row r="46" spans="1:25">
      <c r="A46" s="97"/>
      <c r="B46" s="97"/>
      <c r="C46" s="97"/>
      <c r="D46" s="97"/>
      <c r="E46" s="97"/>
      <c r="F46" s="97"/>
      <c r="G46" s="97"/>
      <c r="H46" s="97"/>
      <c r="I46" s="97"/>
      <c r="J46" s="97"/>
      <c r="K46" s="97"/>
      <c r="L46" s="97"/>
      <c r="M46" s="97"/>
      <c r="N46" s="97"/>
      <c r="O46" s="97"/>
      <c r="P46" s="97"/>
      <c r="Q46" s="97"/>
      <c r="R46" s="97"/>
      <c r="S46" s="97"/>
      <c r="T46" s="97"/>
      <c r="U46" s="97"/>
      <c r="V46" s="97"/>
      <c r="W46" s="97"/>
      <c r="X46" s="97"/>
      <c r="Y46" s="97"/>
    </row>
    <row r="47" spans="1:25">
      <c r="A47" s="97"/>
      <c r="B47" s="97"/>
      <c r="C47" s="97"/>
      <c r="D47" s="97"/>
      <c r="E47" s="97"/>
      <c r="F47" s="97"/>
      <c r="G47" s="97"/>
      <c r="H47" s="97"/>
      <c r="I47" s="97"/>
      <c r="J47" s="97"/>
      <c r="K47" s="97"/>
      <c r="L47" s="97"/>
      <c r="M47" s="97"/>
      <c r="N47" s="97"/>
      <c r="O47" s="97"/>
      <c r="P47" s="97"/>
      <c r="Q47" s="97"/>
      <c r="R47" s="97"/>
      <c r="S47" s="97"/>
      <c r="T47" s="97"/>
      <c r="U47" s="97"/>
      <c r="V47" s="97"/>
      <c r="W47" s="97"/>
      <c r="X47" s="97"/>
      <c r="Y47" s="97"/>
    </row>
    <row r="48" spans="1:25">
      <c r="A48" s="97"/>
      <c r="B48" s="97"/>
      <c r="C48" s="97"/>
      <c r="D48" s="97"/>
      <c r="E48" s="97"/>
      <c r="F48" s="97"/>
      <c r="G48" s="97"/>
      <c r="H48" s="97"/>
      <c r="I48" s="97"/>
      <c r="J48" s="97"/>
      <c r="K48" s="97"/>
      <c r="L48" s="97"/>
      <c r="M48" s="97"/>
      <c r="N48" s="97"/>
      <c r="O48" s="97"/>
      <c r="P48" s="97"/>
      <c r="Q48" s="97"/>
      <c r="R48" s="97"/>
      <c r="S48" s="97"/>
      <c r="T48" s="97"/>
      <c r="U48" s="97"/>
      <c r="V48" s="97"/>
      <c r="W48" s="97"/>
      <c r="X48" s="97"/>
      <c r="Y48" s="97"/>
    </row>
    <row r="49" spans="1:25">
      <c r="A49" s="97"/>
      <c r="B49" s="97"/>
      <c r="C49" s="97"/>
      <c r="D49" s="97"/>
      <c r="E49" s="97"/>
      <c r="F49" s="97"/>
      <c r="G49" s="97"/>
      <c r="H49" s="97"/>
      <c r="I49" s="97"/>
      <c r="J49" s="97"/>
      <c r="K49" s="97"/>
      <c r="L49" s="97"/>
      <c r="M49" s="97"/>
      <c r="N49" s="97"/>
      <c r="O49" s="97"/>
      <c r="P49" s="97"/>
      <c r="Q49" s="97"/>
      <c r="R49" s="97"/>
      <c r="S49" s="97"/>
      <c r="T49" s="97"/>
      <c r="U49" s="97"/>
      <c r="V49" s="97"/>
      <c r="W49" s="97"/>
      <c r="X49" s="97"/>
      <c r="Y49" s="97"/>
    </row>
    <row r="50" spans="1:25">
      <c r="A50" s="97"/>
      <c r="B50" s="97"/>
      <c r="C50" s="97"/>
      <c r="D50" s="97"/>
      <c r="E50" s="97"/>
      <c r="F50" s="97"/>
      <c r="G50" s="97"/>
      <c r="H50" s="97"/>
      <c r="I50" s="97"/>
      <c r="J50" s="97"/>
      <c r="K50" s="97"/>
      <c r="L50" s="97"/>
      <c r="M50" s="97"/>
      <c r="N50" s="97"/>
      <c r="O50" s="97"/>
      <c r="P50" s="97"/>
      <c r="Q50" s="97"/>
      <c r="R50" s="97"/>
      <c r="S50" s="97"/>
      <c r="T50" s="97"/>
      <c r="U50" s="97"/>
      <c r="V50" s="97"/>
      <c r="W50" s="97"/>
      <c r="X50" s="97"/>
      <c r="Y50" s="97"/>
    </row>
    <row r="51" spans="1:25">
      <c r="A51" s="97"/>
      <c r="B51" s="97"/>
      <c r="C51" s="97"/>
      <c r="D51" s="97"/>
      <c r="E51" s="97"/>
      <c r="F51" s="97"/>
      <c r="G51" s="97"/>
      <c r="H51" s="97"/>
      <c r="I51" s="97"/>
      <c r="J51" s="97"/>
      <c r="K51" s="97"/>
      <c r="L51" s="97"/>
      <c r="M51" s="97"/>
      <c r="N51" s="97"/>
      <c r="O51" s="97"/>
      <c r="P51" s="97"/>
      <c r="Q51" s="97"/>
      <c r="R51" s="97"/>
      <c r="S51" s="97"/>
      <c r="T51" s="97"/>
      <c r="U51" s="97"/>
      <c r="V51" s="97"/>
      <c r="W51" s="97"/>
      <c r="X51" s="97"/>
      <c r="Y51" s="97"/>
    </row>
    <row r="52" spans="1:25">
      <c r="A52" s="97"/>
      <c r="B52" s="97"/>
      <c r="C52" s="97"/>
      <c r="D52" s="97"/>
      <c r="E52" s="97"/>
      <c r="F52" s="97"/>
      <c r="G52" s="97"/>
      <c r="H52" s="97"/>
      <c r="I52" s="97"/>
      <c r="J52" s="97"/>
      <c r="K52" s="97"/>
      <c r="L52" s="97"/>
      <c r="M52" s="97"/>
      <c r="N52" s="97"/>
      <c r="O52" s="97"/>
      <c r="P52" s="97"/>
      <c r="Q52" s="97"/>
      <c r="R52" s="97"/>
      <c r="S52" s="97"/>
      <c r="T52" s="97"/>
      <c r="U52" s="97"/>
      <c r="V52" s="97"/>
      <c r="W52" s="97"/>
      <c r="X52" s="97"/>
      <c r="Y52" s="97"/>
    </row>
    <row r="53" spans="1:25">
      <c r="A53" s="97"/>
      <c r="B53" s="97"/>
      <c r="C53" s="97"/>
      <c r="D53" s="97"/>
      <c r="E53" s="97"/>
      <c r="F53" s="97"/>
      <c r="G53" s="97"/>
      <c r="H53" s="97"/>
      <c r="I53" s="97"/>
      <c r="J53" s="97"/>
      <c r="K53" s="97"/>
      <c r="L53" s="97"/>
      <c r="M53" s="97"/>
      <c r="N53" s="97"/>
      <c r="O53" s="97"/>
      <c r="P53" s="97"/>
      <c r="Q53" s="97"/>
      <c r="R53" s="97"/>
      <c r="S53" s="97"/>
      <c r="T53" s="97"/>
      <c r="U53" s="97"/>
      <c r="V53" s="97"/>
      <c r="W53" s="97"/>
      <c r="X53" s="97"/>
      <c r="Y53" s="97"/>
    </row>
    <row r="54" spans="1:25">
      <c r="A54" s="97"/>
      <c r="B54" s="97"/>
      <c r="C54" s="97"/>
      <c r="D54" s="97"/>
      <c r="E54" s="97"/>
      <c r="F54" s="97"/>
      <c r="G54" s="97"/>
      <c r="H54" s="97"/>
      <c r="I54" s="97"/>
      <c r="J54" s="97"/>
      <c r="K54" s="97"/>
      <c r="L54" s="97"/>
      <c r="M54" s="97"/>
      <c r="N54" s="97"/>
      <c r="O54" s="97"/>
      <c r="P54" s="97"/>
      <c r="Q54" s="97"/>
      <c r="R54" s="97"/>
      <c r="S54" s="97"/>
      <c r="T54" s="97"/>
      <c r="U54" s="97"/>
      <c r="V54" s="97"/>
      <c r="W54" s="97"/>
      <c r="X54" s="97"/>
      <c r="Y54" s="97"/>
    </row>
    <row r="55" spans="1:25">
      <c r="A55" s="97"/>
      <c r="B55" s="97"/>
      <c r="C55" s="97"/>
      <c r="D55" s="97"/>
      <c r="E55" s="97"/>
      <c r="F55" s="97"/>
      <c r="G55" s="97"/>
      <c r="H55" s="97"/>
      <c r="I55" s="97"/>
      <c r="J55" s="97"/>
      <c r="K55" s="97"/>
      <c r="L55" s="97"/>
      <c r="M55" s="97"/>
      <c r="N55" s="97"/>
      <c r="O55" s="97"/>
      <c r="P55" s="97"/>
      <c r="Q55" s="97"/>
      <c r="R55" s="97"/>
      <c r="S55" s="97"/>
      <c r="T55" s="97"/>
      <c r="U55" s="97"/>
      <c r="V55" s="97"/>
      <c r="W55" s="97"/>
      <c r="X55" s="97"/>
      <c r="Y55" s="97"/>
    </row>
    <row r="56" spans="1:25">
      <c r="A56" s="97"/>
      <c r="B56" s="97"/>
      <c r="C56" s="97"/>
      <c r="D56" s="97"/>
      <c r="E56" s="97"/>
      <c r="F56" s="97"/>
      <c r="G56" s="97"/>
      <c r="H56" s="97"/>
      <c r="I56" s="97"/>
      <c r="J56" s="97"/>
      <c r="K56" s="97"/>
      <c r="L56" s="97"/>
      <c r="M56" s="97"/>
      <c r="N56" s="97"/>
      <c r="O56" s="97"/>
      <c r="P56" s="97"/>
      <c r="Q56" s="97"/>
      <c r="R56" s="97"/>
      <c r="S56" s="97"/>
      <c r="T56" s="97"/>
      <c r="U56" s="97"/>
      <c r="V56" s="97"/>
      <c r="W56" s="97"/>
      <c r="X56" s="97"/>
      <c r="Y56" s="97"/>
    </row>
    <row r="57" spans="1:25">
      <c r="A57" s="97"/>
      <c r="B57" s="97"/>
      <c r="C57" s="97"/>
      <c r="D57" s="97"/>
      <c r="E57" s="97"/>
      <c r="F57" s="97"/>
      <c r="G57" s="97"/>
      <c r="H57" s="97"/>
      <c r="I57" s="97"/>
      <c r="J57" s="97"/>
      <c r="K57" s="97"/>
      <c r="L57" s="97"/>
      <c r="M57" s="97"/>
      <c r="N57" s="97"/>
      <c r="O57" s="97"/>
      <c r="P57" s="97"/>
      <c r="Q57" s="97"/>
      <c r="R57" s="97"/>
      <c r="S57" s="97"/>
      <c r="T57" s="97"/>
      <c r="U57" s="97"/>
      <c r="V57" s="97"/>
      <c r="W57" s="97"/>
      <c r="X57" s="97"/>
      <c r="Y57" s="97"/>
    </row>
    <row r="58" spans="1:25">
      <c r="A58" s="97"/>
      <c r="B58" s="97"/>
      <c r="C58" s="97"/>
      <c r="D58" s="97"/>
      <c r="E58" s="97"/>
      <c r="F58" s="97"/>
      <c r="G58" s="97"/>
      <c r="H58" s="97"/>
      <c r="I58" s="97"/>
      <c r="J58" s="97"/>
      <c r="K58" s="97"/>
      <c r="L58" s="97"/>
      <c r="M58" s="97"/>
      <c r="N58" s="97"/>
      <c r="O58" s="97"/>
      <c r="P58" s="97"/>
      <c r="Q58" s="97"/>
      <c r="R58" s="97"/>
      <c r="S58" s="97"/>
      <c r="T58" s="97"/>
      <c r="U58" s="97"/>
      <c r="V58" s="97"/>
      <c r="W58" s="97"/>
      <c r="X58" s="97"/>
      <c r="Y58" s="97"/>
    </row>
    <row r="59" spans="1:25">
      <c r="A59" s="97"/>
      <c r="B59" s="97"/>
      <c r="C59" s="97"/>
      <c r="D59" s="97"/>
      <c r="E59" s="97"/>
      <c r="F59" s="97"/>
      <c r="G59" s="97"/>
      <c r="H59" s="97"/>
      <c r="I59" s="97"/>
      <c r="J59" s="97"/>
      <c r="K59" s="97"/>
      <c r="L59" s="97"/>
      <c r="M59" s="97"/>
      <c r="N59" s="97"/>
      <c r="O59" s="97"/>
      <c r="P59" s="97"/>
      <c r="Q59" s="97"/>
      <c r="R59" s="97"/>
      <c r="S59" s="97"/>
      <c r="T59" s="97"/>
      <c r="U59" s="97"/>
      <c r="V59" s="97"/>
      <c r="W59" s="97"/>
      <c r="X59" s="97"/>
      <c r="Y59" s="97"/>
    </row>
    <row r="60" spans="1:25">
      <c r="A60" s="97"/>
      <c r="B60" s="97"/>
      <c r="C60" s="97"/>
      <c r="D60" s="97"/>
      <c r="E60" s="97"/>
      <c r="F60" s="97"/>
      <c r="G60" s="97"/>
      <c r="H60" s="97"/>
      <c r="I60" s="97"/>
      <c r="J60" s="97"/>
      <c r="K60" s="97"/>
      <c r="L60" s="97"/>
      <c r="M60" s="97"/>
      <c r="N60" s="97"/>
      <c r="O60" s="97"/>
      <c r="P60" s="97"/>
      <c r="Q60" s="97"/>
      <c r="R60" s="97"/>
      <c r="S60" s="97"/>
      <c r="T60" s="97"/>
      <c r="U60" s="97"/>
      <c r="V60" s="97"/>
      <c r="W60" s="97"/>
      <c r="X60" s="97"/>
      <c r="Y60" s="97"/>
    </row>
    <row r="61" spans="1:25">
      <c r="A61" s="97"/>
      <c r="B61" s="97"/>
      <c r="C61" s="97"/>
      <c r="D61" s="97"/>
      <c r="E61" s="97"/>
      <c r="F61" s="97"/>
      <c r="G61" s="97"/>
      <c r="H61" s="97"/>
      <c r="I61" s="97"/>
      <c r="J61" s="97"/>
      <c r="K61" s="97"/>
      <c r="L61" s="97"/>
      <c r="M61" s="97"/>
      <c r="N61" s="97"/>
      <c r="O61" s="97"/>
      <c r="P61" s="97"/>
      <c r="Q61" s="97"/>
      <c r="R61" s="97"/>
      <c r="S61" s="97"/>
      <c r="T61" s="97"/>
      <c r="U61" s="97"/>
      <c r="V61" s="97"/>
      <c r="W61" s="97"/>
      <c r="X61" s="97"/>
      <c r="Y61" s="97"/>
    </row>
    <row r="62" spans="1:25">
      <c r="A62" s="97"/>
      <c r="B62" s="97"/>
      <c r="C62" s="97"/>
      <c r="D62" s="97"/>
      <c r="E62" s="97"/>
      <c r="F62" s="97"/>
      <c r="G62" s="97"/>
      <c r="H62" s="97"/>
      <c r="I62" s="97"/>
      <c r="J62" s="97"/>
      <c r="K62" s="97"/>
      <c r="L62" s="97"/>
      <c r="M62" s="97"/>
      <c r="N62" s="97"/>
      <c r="O62" s="97"/>
      <c r="P62" s="97"/>
      <c r="Q62" s="97"/>
      <c r="R62" s="97"/>
      <c r="S62" s="97"/>
      <c r="T62" s="97"/>
      <c r="U62" s="97"/>
      <c r="V62" s="97"/>
      <c r="W62" s="97"/>
      <c r="X62" s="97"/>
      <c r="Y62" s="97"/>
    </row>
    <row r="63" spans="1:25">
      <c r="A63" s="97"/>
      <c r="B63" s="97"/>
      <c r="C63" s="97"/>
      <c r="D63" s="97"/>
      <c r="E63" s="97"/>
      <c r="F63" s="97"/>
      <c r="G63" s="97"/>
      <c r="H63" s="97"/>
      <c r="I63" s="97"/>
      <c r="J63" s="97"/>
      <c r="K63" s="97"/>
      <c r="L63" s="97"/>
      <c r="M63" s="97"/>
      <c r="N63" s="97"/>
      <c r="O63" s="97"/>
      <c r="P63" s="97"/>
      <c r="Q63" s="97"/>
      <c r="R63" s="97"/>
      <c r="S63" s="97"/>
      <c r="T63" s="97"/>
      <c r="U63" s="97"/>
      <c r="V63" s="97"/>
      <c r="W63" s="97"/>
      <c r="X63" s="97"/>
      <c r="Y63" s="97"/>
    </row>
    <row r="64" spans="1:25">
      <c r="A64" s="97"/>
      <c r="B64" s="97"/>
      <c r="C64" s="97"/>
      <c r="D64" s="97"/>
      <c r="E64" s="97"/>
      <c r="F64" s="97"/>
      <c r="G64" s="97"/>
      <c r="H64" s="97"/>
      <c r="I64" s="97"/>
      <c r="J64" s="97"/>
      <c r="K64" s="97"/>
      <c r="L64" s="97"/>
      <c r="M64" s="97"/>
      <c r="N64" s="97"/>
      <c r="O64" s="97"/>
      <c r="P64" s="97"/>
      <c r="Q64" s="97"/>
      <c r="R64" s="97"/>
      <c r="S64" s="97"/>
      <c r="T64" s="97"/>
      <c r="U64" s="97"/>
      <c r="V64" s="97"/>
      <c r="W64" s="97"/>
      <c r="X64" s="97"/>
      <c r="Y64" s="97"/>
    </row>
    <row r="65" spans="1:25">
      <c r="A65" s="97"/>
      <c r="B65" s="97"/>
      <c r="C65" s="97"/>
      <c r="D65" s="97"/>
      <c r="E65" s="97"/>
      <c r="F65" s="97"/>
      <c r="G65" s="97"/>
      <c r="H65" s="97"/>
      <c r="I65" s="97"/>
      <c r="J65" s="97"/>
      <c r="K65" s="97"/>
      <c r="L65" s="97"/>
      <c r="M65" s="97"/>
      <c r="N65" s="97"/>
      <c r="O65" s="97"/>
      <c r="P65" s="97"/>
      <c r="Q65" s="97"/>
      <c r="R65" s="97"/>
      <c r="S65" s="97"/>
      <c r="T65" s="97"/>
      <c r="U65" s="97"/>
      <c r="V65" s="97"/>
      <c r="W65" s="97"/>
      <c r="X65" s="97"/>
      <c r="Y65" s="97"/>
    </row>
    <row r="66" spans="1:25">
      <c r="A66" s="97"/>
      <c r="B66" s="97"/>
      <c r="C66" s="97"/>
      <c r="D66" s="97"/>
      <c r="E66" s="97"/>
      <c r="F66" s="97"/>
      <c r="G66" s="97"/>
      <c r="H66" s="97"/>
      <c r="I66" s="97"/>
      <c r="J66" s="97"/>
      <c r="K66" s="97"/>
      <c r="L66" s="97"/>
      <c r="M66" s="97"/>
      <c r="N66" s="97"/>
      <c r="O66" s="97"/>
      <c r="P66" s="97"/>
      <c r="Q66" s="97"/>
      <c r="R66" s="97"/>
      <c r="S66" s="97"/>
      <c r="T66" s="97"/>
      <c r="U66" s="97"/>
      <c r="V66" s="97"/>
      <c r="W66" s="97"/>
      <c r="X66" s="97"/>
      <c r="Y66" s="97"/>
    </row>
    <row r="67" spans="1:25">
      <c r="A67" s="97"/>
      <c r="B67" s="97"/>
      <c r="C67" s="97"/>
      <c r="D67" s="97"/>
      <c r="E67" s="97"/>
      <c r="F67" s="97"/>
      <c r="G67" s="97"/>
      <c r="H67" s="97"/>
      <c r="I67" s="97"/>
      <c r="J67" s="97"/>
      <c r="K67" s="97"/>
      <c r="L67" s="97"/>
      <c r="M67" s="97"/>
      <c r="N67" s="97"/>
      <c r="O67" s="97"/>
      <c r="P67" s="97"/>
      <c r="Q67" s="97"/>
      <c r="R67" s="97"/>
      <c r="S67" s="97"/>
      <c r="T67" s="97"/>
      <c r="U67" s="97"/>
      <c r="V67" s="97"/>
      <c r="W67" s="97"/>
      <c r="X67" s="97"/>
      <c r="Y67" s="97"/>
    </row>
    <row r="68" spans="1:25">
      <c r="A68" s="97"/>
      <c r="B68" s="97"/>
      <c r="C68" s="97"/>
      <c r="D68" s="97"/>
      <c r="E68" s="97"/>
      <c r="F68" s="97"/>
      <c r="G68" s="97"/>
      <c r="H68" s="97"/>
      <c r="I68" s="97"/>
      <c r="J68" s="97"/>
      <c r="K68" s="97"/>
      <c r="L68" s="97"/>
      <c r="M68" s="97"/>
      <c r="N68" s="97"/>
      <c r="O68" s="97"/>
      <c r="P68" s="97"/>
      <c r="Q68" s="97"/>
      <c r="R68" s="97"/>
      <c r="S68" s="97"/>
      <c r="T68" s="97"/>
      <c r="U68" s="97"/>
      <c r="V68" s="97"/>
      <c r="W68" s="97"/>
      <c r="X68" s="97"/>
      <c r="Y68" s="97"/>
    </row>
    <row r="69" spans="1:25">
      <c r="A69" s="97"/>
      <c r="B69" s="97"/>
      <c r="C69" s="97"/>
      <c r="D69" s="97"/>
      <c r="E69" s="97"/>
      <c r="F69" s="97"/>
      <c r="G69" s="97"/>
      <c r="H69" s="97"/>
      <c r="I69" s="97"/>
      <c r="J69" s="97"/>
      <c r="K69" s="97"/>
      <c r="L69" s="97"/>
      <c r="M69" s="97"/>
      <c r="N69" s="97"/>
      <c r="O69" s="97"/>
      <c r="P69" s="97"/>
      <c r="Q69" s="97"/>
      <c r="R69" s="97"/>
      <c r="S69" s="97"/>
      <c r="T69" s="97"/>
      <c r="U69" s="97"/>
      <c r="V69" s="97"/>
      <c r="W69" s="97"/>
      <c r="X69" s="97"/>
      <c r="Y69" s="97"/>
    </row>
    <row r="70" spans="1:25">
      <c r="A70" s="97"/>
      <c r="B70" s="97"/>
      <c r="C70" s="97"/>
      <c r="D70" s="97"/>
      <c r="E70" s="97"/>
      <c r="F70" s="97"/>
      <c r="G70" s="97"/>
      <c r="H70" s="97"/>
      <c r="I70" s="97"/>
      <c r="J70" s="97"/>
      <c r="K70" s="97"/>
      <c r="L70" s="97"/>
      <c r="M70" s="97"/>
      <c r="N70" s="97"/>
      <c r="O70" s="97"/>
      <c r="P70" s="97"/>
      <c r="Q70" s="97"/>
      <c r="R70" s="97"/>
      <c r="S70" s="97"/>
      <c r="T70" s="97"/>
      <c r="U70" s="97"/>
      <c r="V70" s="97"/>
      <c r="W70" s="97"/>
      <c r="X70" s="97"/>
      <c r="Y70" s="97"/>
    </row>
    <row r="71" spans="1:25">
      <c r="A71" s="97"/>
      <c r="B71" s="97"/>
      <c r="C71" s="97"/>
      <c r="D71" s="97"/>
      <c r="E71" s="97"/>
      <c r="F71" s="97"/>
      <c r="G71" s="97"/>
      <c r="H71" s="97"/>
      <c r="I71" s="97"/>
      <c r="J71" s="97"/>
      <c r="K71" s="97"/>
      <c r="L71" s="97"/>
      <c r="M71" s="97"/>
      <c r="N71" s="97"/>
      <c r="O71" s="97"/>
      <c r="P71" s="97"/>
      <c r="Q71" s="97"/>
      <c r="R71" s="97"/>
      <c r="S71" s="97"/>
      <c r="T71" s="97"/>
      <c r="U71" s="97"/>
      <c r="V71" s="97"/>
      <c r="W71" s="97"/>
      <c r="X71" s="97"/>
      <c r="Y71" s="97"/>
    </row>
    <row r="72" spans="1:25">
      <c r="A72" s="97"/>
      <c r="B72" s="97"/>
      <c r="C72" s="97"/>
      <c r="D72" s="97"/>
      <c r="E72" s="97"/>
      <c r="F72" s="97"/>
      <c r="G72" s="97"/>
      <c r="H72" s="97"/>
      <c r="I72" s="97"/>
      <c r="J72" s="97"/>
      <c r="K72" s="97"/>
      <c r="L72" s="97"/>
      <c r="M72" s="97"/>
      <c r="N72" s="97"/>
      <c r="O72" s="97"/>
      <c r="P72" s="97"/>
      <c r="Q72" s="97"/>
      <c r="R72" s="97"/>
      <c r="S72" s="97"/>
      <c r="T72" s="97"/>
      <c r="U72" s="97"/>
      <c r="V72" s="97"/>
      <c r="W72" s="97"/>
      <c r="X72" s="97"/>
      <c r="Y72" s="97"/>
    </row>
    <row r="73" spans="1:25">
      <c r="A73" s="97"/>
      <c r="B73" s="97"/>
      <c r="C73" s="97"/>
      <c r="D73" s="97"/>
      <c r="E73" s="97"/>
      <c r="F73" s="97"/>
      <c r="G73" s="97"/>
      <c r="H73" s="97"/>
      <c r="I73" s="97"/>
      <c r="J73" s="97"/>
      <c r="K73" s="97"/>
      <c r="L73" s="97"/>
      <c r="M73" s="97"/>
      <c r="N73" s="97"/>
      <c r="O73" s="97"/>
      <c r="P73" s="97"/>
      <c r="Q73" s="97"/>
      <c r="R73" s="97"/>
      <c r="S73" s="97"/>
      <c r="T73" s="97"/>
      <c r="U73" s="97"/>
      <c r="V73" s="97"/>
      <c r="W73" s="97"/>
      <c r="X73" s="97"/>
      <c r="Y73" s="97"/>
    </row>
    <row r="74" spans="1:25">
      <c r="A74" s="97"/>
      <c r="B74" s="97"/>
      <c r="C74" s="97"/>
      <c r="D74" s="97"/>
      <c r="E74" s="97"/>
      <c r="F74" s="97"/>
      <c r="G74" s="97"/>
      <c r="H74" s="97"/>
      <c r="I74" s="97"/>
      <c r="J74" s="97"/>
      <c r="K74" s="97"/>
      <c r="L74" s="97"/>
      <c r="M74" s="97"/>
      <c r="N74" s="97"/>
      <c r="O74" s="97"/>
      <c r="P74" s="97"/>
      <c r="Q74" s="97"/>
      <c r="R74" s="97"/>
      <c r="S74" s="97"/>
      <c r="T74" s="97"/>
      <c r="U74" s="97"/>
      <c r="V74" s="97"/>
      <c r="W74" s="97"/>
      <c r="X74" s="97"/>
      <c r="Y74" s="97"/>
    </row>
    <row r="75" spans="1:25">
      <c r="A75" s="97"/>
      <c r="B75" s="97"/>
      <c r="C75" s="97"/>
      <c r="D75" s="97"/>
      <c r="E75" s="97"/>
      <c r="F75" s="97"/>
      <c r="G75" s="97"/>
      <c r="H75" s="97"/>
      <c r="I75" s="97"/>
      <c r="J75" s="97"/>
      <c r="K75" s="97"/>
      <c r="L75" s="97"/>
      <c r="M75" s="97"/>
      <c r="N75" s="97"/>
      <c r="O75" s="97"/>
      <c r="P75" s="97"/>
      <c r="Q75" s="97"/>
      <c r="R75" s="97"/>
      <c r="S75" s="97"/>
      <c r="T75" s="97"/>
      <c r="U75" s="97"/>
      <c r="V75" s="97"/>
      <c r="W75" s="97"/>
      <c r="X75" s="97"/>
      <c r="Y75" s="97"/>
    </row>
    <row r="76" spans="1:25">
      <c r="A76" s="97"/>
      <c r="B76" s="97"/>
      <c r="C76" s="97"/>
      <c r="D76" s="97"/>
      <c r="E76" s="97"/>
      <c r="F76" s="97"/>
      <c r="G76" s="97"/>
      <c r="H76" s="97"/>
      <c r="I76" s="97"/>
      <c r="J76" s="97"/>
      <c r="K76" s="97"/>
      <c r="L76" s="97"/>
      <c r="M76" s="97"/>
      <c r="N76" s="97"/>
      <c r="O76" s="97"/>
      <c r="P76" s="97"/>
      <c r="Q76" s="97"/>
      <c r="R76" s="97"/>
      <c r="S76" s="97"/>
      <c r="T76" s="97"/>
      <c r="U76" s="97"/>
      <c r="V76" s="97"/>
      <c r="W76" s="97"/>
      <c r="X76" s="97"/>
      <c r="Y76" s="97"/>
    </row>
    <row r="77" spans="1:25">
      <c r="A77" s="97"/>
      <c r="B77" s="97"/>
      <c r="C77" s="97"/>
      <c r="D77" s="97"/>
      <c r="E77" s="97"/>
      <c r="F77" s="97"/>
      <c r="G77" s="97"/>
      <c r="H77" s="97"/>
      <c r="I77" s="97"/>
      <c r="J77" s="97"/>
      <c r="K77" s="97"/>
      <c r="L77" s="97"/>
      <c r="M77" s="97"/>
      <c r="N77" s="97"/>
      <c r="O77" s="97"/>
      <c r="P77" s="97"/>
      <c r="Q77" s="97"/>
      <c r="R77" s="97"/>
      <c r="S77" s="97"/>
      <c r="T77" s="97"/>
      <c r="U77" s="97"/>
      <c r="V77" s="97"/>
      <c r="W77" s="97"/>
      <c r="X77" s="97"/>
      <c r="Y77" s="97"/>
    </row>
    <row r="78" spans="1:25">
      <c r="A78" s="97"/>
      <c r="B78" s="97"/>
      <c r="C78" s="97"/>
      <c r="D78" s="97"/>
      <c r="E78" s="97"/>
      <c r="F78" s="97"/>
      <c r="G78" s="97"/>
      <c r="H78" s="97"/>
      <c r="I78" s="97"/>
      <c r="J78" s="97"/>
      <c r="K78" s="97"/>
      <c r="L78" s="97"/>
      <c r="M78" s="97"/>
      <c r="N78" s="97"/>
      <c r="O78" s="97"/>
      <c r="P78" s="97"/>
      <c r="Q78" s="97"/>
      <c r="R78" s="97"/>
      <c r="S78" s="97"/>
      <c r="T78" s="97"/>
      <c r="U78" s="97"/>
      <c r="V78" s="97"/>
      <c r="W78" s="97"/>
      <c r="X78" s="97"/>
      <c r="Y78" s="97"/>
    </row>
    <row r="79" spans="1:25">
      <c r="A79" s="97"/>
      <c r="B79" s="97"/>
      <c r="C79" s="97"/>
      <c r="D79" s="97"/>
      <c r="E79" s="97"/>
      <c r="F79" s="97"/>
      <c r="G79" s="97"/>
      <c r="H79" s="97"/>
      <c r="I79" s="97"/>
      <c r="J79" s="97"/>
      <c r="K79" s="97"/>
      <c r="L79" s="97"/>
      <c r="M79" s="97"/>
      <c r="N79" s="97"/>
      <c r="O79" s="97"/>
      <c r="P79" s="97"/>
      <c r="Q79" s="97"/>
      <c r="R79" s="97"/>
      <c r="S79" s="97"/>
      <c r="T79" s="97"/>
      <c r="U79" s="97"/>
      <c r="V79" s="97"/>
      <c r="W79" s="97"/>
      <c r="X79" s="97"/>
      <c r="Y79" s="97"/>
    </row>
    <row r="80" spans="1:25">
      <c r="A80" s="97"/>
      <c r="B80" s="97"/>
      <c r="C80" s="97"/>
      <c r="D80" s="97"/>
      <c r="E80" s="97"/>
      <c r="F80" s="97"/>
      <c r="G80" s="97"/>
      <c r="H80" s="97"/>
      <c r="I80" s="97"/>
      <c r="J80" s="97"/>
      <c r="K80" s="97"/>
      <c r="L80" s="97"/>
      <c r="M80" s="97"/>
      <c r="N80" s="97"/>
      <c r="O80" s="97"/>
      <c r="P80" s="97"/>
      <c r="Q80" s="97"/>
      <c r="R80" s="97"/>
      <c r="S80" s="97"/>
      <c r="T80" s="97"/>
      <c r="U80" s="97"/>
      <c r="V80" s="97"/>
      <c r="W80" s="97"/>
      <c r="X80" s="97"/>
      <c r="Y80" s="97"/>
    </row>
    <row r="81" spans="1:25">
      <c r="A81" s="97"/>
      <c r="B81" s="97"/>
      <c r="C81" s="97"/>
      <c r="D81" s="97"/>
      <c r="E81" s="97"/>
      <c r="F81" s="97"/>
      <c r="G81" s="97"/>
      <c r="H81" s="97"/>
      <c r="I81" s="97"/>
      <c r="J81" s="97"/>
      <c r="K81" s="97"/>
      <c r="L81" s="97"/>
      <c r="M81" s="97"/>
      <c r="N81" s="97"/>
      <c r="O81" s="97"/>
      <c r="P81" s="97"/>
      <c r="Q81" s="97"/>
      <c r="R81" s="97"/>
      <c r="S81" s="97"/>
      <c r="T81" s="97"/>
      <c r="U81" s="97"/>
      <c r="V81" s="97"/>
      <c r="W81" s="97"/>
      <c r="X81" s="97"/>
      <c r="Y81" s="97"/>
    </row>
    <row r="82" spans="1:25">
      <c r="A82" s="97"/>
      <c r="B82" s="97"/>
      <c r="C82" s="97"/>
      <c r="D82" s="97"/>
      <c r="E82" s="97"/>
      <c r="F82" s="97"/>
      <c r="G82" s="97"/>
      <c r="H82" s="97"/>
      <c r="I82" s="97"/>
      <c r="J82" s="97"/>
      <c r="K82" s="97"/>
      <c r="L82" s="97"/>
      <c r="M82" s="97"/>
      <c r="N82" s="97"/>
      <c r="O82" s="97"/>
      <c r="P82" s="97"/>
      <c r="Q82" s="97"/>
      <c r="R82" s="97"/>
      <c r="S82" s="97"/>
      <c r="T82" s="97"/>
      <c r="U82" s="97"/>
      <c r="V82" s="97"/>
      <c r="W82" s="97"/>
      <c r="X82" s="97"/>
      <c r="Y82" s="97"/>
    </row>
    <row r="83" spans="1:25">
      <c r="A83" s="97"/>
      <c r="B83" s="97"/>
      <c r="C83" s="97"/>
      <c r="D83" s="97"/>
      <c r="E83" s="97"/>
      <c r="F83" s="97"/>
      <c r="G83" s="97"/>
      <c r="H83" s="97"/>
      <c r="I83" s="97"/>
      <c r="J83" s="97"/>
      <c r="K83" s="97"/>
      <c r="L83" s="97"/>
      <c r="M83" s="97"/>
      <c r="N83" s="97"/>
      <c r="O83" s="97"/>
      <c r="P83" s="97"/>
      <c r="Q83" s="97"/>
      <c r="R83" s="97"/>
      <c r="S83" s="97"/>
      <c r="T83" s="97"/>
      <c r="U83" s="97"/>
      <c r="V83" s="97"/>
      <c r="W83" s="97"/>
      <c r="X83" s="97"/>
      <c r="Y83" s="97"/>
    </row>
    <row r="84" spans="1:25">
      <c r="A84" s="97"/>
      <c r="B84" s="97"/>
      <c r="C84" s="97"/>
      <c r="D84" s="97"/>
      <c r="E84" s="97"/>
      <c r="F84" s="97"/>
      <c r="G84" s="97"/>
      <c r="H84" s="97"/>
      <c r="I84" s="97"/>
      <c r="J84" s="97"/>
      <c r="K84" s="97"/>
      <c r="L84" s="97"/>
      <c r="M84" s="97"/>
      <c r="N84" s="97"/>
      <c r="O84" s="97"/>
      <c r="P84" s="97"/>
      <c r="Q84" s="97"/>
      <c r="R84" s="97"/>
      <c r="S84" s="97"/>
      <c r="T84" s="97"/>
      <c r="U84" s="97"/>
      <c r="V84" s="97"/>
      <c r="W84" s="97"/>
      <c r="X84" s="97"/>
      <c r="Y84" s="97"/>
    </row>
    <row r="85" spans="1:25">
      <c r="A85" s="97"/>
      <c r="B85" s="97"/>
      <c r="C85" s="97"/>
      <c r="D85" s="97"/>
      <c r="E85" s="97"/>
      <c r="F85" s="97"/>
      <c r="G85" s="97"/>
      <c r="H85" s="97"/>
      <c r="I85" s="97"/>
      <c r="J85" s="97"/>
      <c r="K85" s="97"/>
      <c r="L85" s="97"/>
      <c r="M85" s="97"/>
      <c r="N85" s="97"/>
      <c r="O85" s="97"/>
      <c r="P85" s="97"/>
      <c r="Q85" s="97"/>
      <c r="R85" s="97"/>
      <c r="S85" s="97"/>
      <c r="T85" s="97"/>
      <c r="U85" s="97"/>
      <c r="V85" s="97"/>
      <c r="W85" s="97"/>
      <c r="X85" s="97"/>
      <c r="Y85" s="97"/>
    </row>
    <row r="86" spans="1:25">
      <c r="A86" s="97"/>
      <c r="B86" s="97"/>
      <c r="C86" s="97"/>
      <c r="D86" s="97"/>
      <c r="E86" s="97"/>
      <c r="F86" s="97"/>
      <c r="G86" s="97"/>
      <c r="H86" s="97"/>
      <c r="I86" s="97"/>
      <c r="J86" s="97"/>
      <c r="K86" s="97"/>
      <c r="L86" s="97"/>
      <c r="M86" s="97"/>
      <c r="N86" s="97"/>
      <c r="O86" s="97"/>
      <c r="P86" s="97"/>
      <c r="Q86" s="97"/>
      <c r="R86" s="97"/>
      <c r="S86" s="97"/>
      <c r="T86" s="97"/>
      <c r="U86" s="97"/>
      <c r="V86" s="97"/>
      <c r="W86" s="97"/>
      <c r="X86" s="97"/>
      <c r="Y86" s="97"/>
    </row>
    <row r="87" spans="1:25">
      <c r="A87" s="97"/>
      <c r="B87" s="97"/>
      <c r="C87" s="97"/>
      <c r="D87" s="97"/>
      <c r="E87" s="97"/>
      <c r="F87" s="97"/>
      <c r="G87" s="97"/>
      <c r="H87" s="97"/>
      <c r="I87" s="97"/>
      <c r="J87" s="97"/>
      <c r="K87" s="97"/>
      <c r="L87" s="97"/>
      <c r="M87" s="97"/>
      <c r="N87" s="97"/>
      <c r="O87" s="97"/>
      <c r="P87" s="97"/>
      <c r="Q87" s="97"/>
      <c r="R87" s="97"/>
      <c r="S87" s="97"/>
      <c r="T87" s="97"/>
      <c r="U87" s="97"/>
      <c r="V87" s="97"/>
      <c r="W87" s="97"/>
      <c r="X87" s="97"/>
      <c r="Y87" s="97"/>
    </row>
    <row r="88" spans="1:25">
      <c r="A88" s="97"/>
      <c r="B88" s="97"/>
      <c r="C88" s="97"/>
      <c r="D88" s="97"/>
      <c r="E88" s="97"/>
      <c r="F88" s="97"/>
      <c r="G88" s="97"/>
      <c r="H88" s="97"/>
      <c r="I88" s="97"/>
      <c r="J88" s="97"/>
      <c r="K88" s="97"/>
      <c r="L88" s="97"/>
      <c r="M88" s="97"/>
      <c r="N88" s="97"/>
      <c r="O88" s="97"/>
      <c r="P88" s="97"/>
      <c r="Q88" s="97"/>
      <c r="R88" s="97"/>
      <c r="S88" s="97"/>
      <c r="T88" s="97"/>
      <c r="U88" s="97"/>
      <c r="V88" s="97"/>
      <c r="W88" s="97"/>
      <c r="X88" s="97"/>
      <c r="Y88" s="97"/>
    </row>
    <row r="89" spans="1:25">
      <c r="A89" s="97"/>
      <c r="B89" s="97"/>
      <c r="C89" s="97"/>
      <c r="D89" s="97"/>
      <c r="E89" s="97"/>
      <c r="F89" s="97"/>
      <c r="G89" s="97"/>
      <c r="H89" s="97"/>
      <c r="I89" s="97"/>
      <c r="J89" s="97"/>
      <c r="K89" s="97"/>
      <c r="L89" s="97"/>
      <c r="M89" s="97"/>
      <c r="N89" s="97"/>
      <c r="O89" s="97"/>
      <c r="P89" s="97"/>
      <c r="Q89" s="97"/>
      <c r="R89" s="97"/>
      <c r="S89" s="97"/>
      <c r="T89" s="97"/>
      <c r="U89" s="97"/>
      <c r="V89" s="97"/>
      <c r="W89" s="97"/>
      <c r="X89" s="97"/>
      <c r="Y89" s="97"/>
    </row>
    <row r="90" spans="1:25">
      <c r="A90" s="97"/>
      <c r="B90" s="97"/>
      <c r="C90" s="97"/>
      <c r="D90" s="97"/>
      <c r="E90" s="97"/>
      <c r="F90" s="97"/>
      <c r="G90" s="97"/>
      <c r="H90" s="97"/>
      <c r="I90" s="97"/>
      <c r="J90" s="97"/>
      <c r="K90" s="97"/>
      <c r="L90" s="97"/>
      <c r="M90" s="97"/>
      <c r="N90" s="97"/>
      <c r="O90" s="97"/>
      <c r="P90" s="97"/>
      <c r="Q90" s="97"/>
      <c r="R90" s="97"/>
      <c r="S90" s="97"/>
      <c r="T90" s="97"/>
      <c r="U90" s="97"/>
      <c r="V90" s="97"/>
      <c r="W90" s="97"/>
      <c r="X90" s="97"/>
      <c r="Y90" s="97"/>
    </row>
    <row r="91" spans="1:25">
      <c r="A91" s="97"/>
      <c r="B91" s="97"/>
      <c r="C91" s="97"/>
      <c r="D91" s="97"/>
      <c r="E91" s="97"/>
      <c r="F91" s="97"/>
      <c r="G91" s="97"/>
      <c r="H91" s="97"/>
      <c r="I91" s="97"/>
      <c r="J91" s="97"/>
      <c r="K91" s="97"/>
      <c r="L91" s="97"/>
      <c r="M91" s="97"/>
      <c r="N91" s="97"/>
      <c r="O91" s="97"/>
      <c r="P91" s="97"/>
      <c r="Q91" s="97"/>
      <c r="R91" s="97"/>
      <c r="S91" s="97"/>
      <c r="T91" s="97"/>
      <c r="U91" s="97"/>
      <c r="V91" s="97"/>
      <c r="W91" s="97"/>
      <c r="X91" s="97"/>
      <c r="Y91" s="97"/>
    </row>
    <row r="92" spans="1:25">
      <c r="A92" s="97"/>
      <c r="B92" s="97"/>
      <c r="C92" s="97"/>
      <c r="D92" s="97"/>
      <c r="E92" s="97"/>
      <c r="F92" s="97"/>
      <c r="G92" s="97"/>
      <c r="H92" s="97"/>
      <c r="I92" s="97"/>
      <c r="J92" s="97"/>
      <c r="K92" s="97"/>
      <c r="L92" s="97"/>
      <c r="M92" s="97"/>
      <c r="N92" s="97"/>
      <c r="O92" s="97"/>
      <c r="P92" s="97"/>
      <c r="Q92" s="97"/>
      <c r="R92" s="97"/>
      <c r="S92" s="97"/>
      <c r="T92" s="97"/>
      <c r="U92" s="97"/>
      <c r="V92" s="97"/>
      <c r="W92" s="97"/>
      <c r="X92" s="97"/>
      <c r="Y92" s="97"/>
    </row>
    <row r="93" spans="1:25">
      <c r="A93" s="97"/>
      <c r="B93" s="97"/>
      <c r="C93" s="97"/>
      <c r="D93" s="97"/>
      <c r="E93" s="97"/>
      <c r="F93" s="97"/>
      <c r="G93" s="97"/>
      <c r="H93" s="97"/>
      <c r="I93" s="97"/>
      <c r="J93" s="97"/>
      <c r="K93" s="97"/>
      <c r="L93" s="97"/>
      <c r="M93" s="97"/>
      <c r="N93" s="97"/>
      <c r="O93" s="97"/>
      <c r="P93" s="97"/>
      <c r="Q93" s="97"/>
      <c r="R93" s="97"/>
      <c r="S93" s="97"/>
      <c r="T93" s="97"/>
      <c r="U93" s="97"/>
      <c r="V93" s="97"/>
      <c r="W93" s="97"/>
      <c r="X93" s="97"/>
      <c r="Y93" s="97"/>
    </row>
    <row r="94" spans="1:25">
      <c r="A94" s="97"/>
      <c r="B94" s="97"/>
      <c r="C94" s="97"/>
      <c r="D94" s="97"/>
      <c r="E94" s="97"/>
      <c r="F94" s="97"/>
      <c r="G94" s="97"/>
      <c r="H94" s="97"/>
      <c r="I94" s="97"/>
      <c r="J94" s="97"/>
      <c r="K94" s="97"/>
      <c r="L94" s="97"/>
      <c r="M94" s="97"/>
      <c r="N94" s="97"/>
      <c r="O94" s="97"/>
      <c r="P94" s="97"/>
      <c r="Q94" s="97"/>
      <c r="R94" s="97"/>
      <c r="S94" s="97"/>
      <c r="T94" s="97"/>
      <c r="U94" s="97"/>
      <c r="V94" s="97"/>
      <c r="W94" s="97"/>
      <c r="X94" s="97"/>
      <c r="Y94" s="97"/>
    </row>
    <row r="95" spans="1:25">
      <c r="A95" s="97"/>
      <c r="B95" s="97"/>
      <c r="C95" s="97"/>
      <c r="D95" s="97"/>
      <c r="E95" s="97"/>
      <c r="F95" s="97"/>
      <c r="G95" s="97"/>
      <c r="H95" s="97"/>
      <c r="I95" s="97"/>
      <c r="J95" s="97"/>
      <c r="K95" s="97"/>
      <c r="L95" s="97"/>
      <c r="M95" s="97"/>
      <c r="N95" s="97"/>
      <c r="O95" s="97"/>
      <c r="P95" s="97"/>
      <c r="Q95" s="97"/>
      <c r="R95" s="97"/>
      <c r="S95" s="97"/>
      <c r="T95" s="97"/>
      <c r="U95" s="97"/>
      <c r="V95" s="97"/>
      <c r="W95" s="97"/>
      <c r="X95" s="97"/>
      <c r="Y95" s="97"/>
    </row>
    <row r="96" spans="1:25">
      <c r="A96" s="97"/>
      <c r="B96" s="97"/>
      <c r="C96" s="97"/>
      <c r="D96" s="97"/>
      <c r="E96" s="97"/>
      <c r="F96" s="97"/>
      <c r="G96" s="97"/>
      <c r="H96" s="97"/>
      <c r="I96" s="97"/>
      <c r="J96" s="97"/>
      <c r="K96" s="97"/>
      <c r="L96" s="97"/>
      <c r="M96" s="97"/>
      <c r="N96" s="97"/>
      <c r="O96" s="97"/>
      <c r="P96" s="97"/>
      <c r="Q96" s="97"/>
      <c r="R96" s="97"/>
      <c r="S96" s="97"/>
      <c r="T96" s="97"/>
      <c r="U96" s="97"/>
      <c r="V96" s="97"/>
      <c r="W96" s="97"/>
      <c r="X96" s="97"/>
      <c r="Y96" s="97"/>
    </row>
    <row r="97" spans="1:25">
      <c r="A97" s="97"/>
      <c r="B97" s="97"/>
      <c r="C97" s="97"/>
      <c r="D97" s="97"/>
      <c r="E97" s="97"/>
      <c r="F97" s="97"/>
      <c r="G97" s="97"/>
      <c r="H97" s="97"/>
      <c r="I97" s="97"/>
      <c r="J97" s="97"/>
      <c r="K97" s="97"/>
      <c r="L97" s="97"/>
      <c r="M97" s="97"/>
      <c r="N97" s="97"/>
      <c r="O97" s="97"/>
      <c r="P97" s="97"/>
      <c r="Q97" s="97"/>
      <c r="R97" s="97"/>
      <c r="S97" s="97"/>
      <c r="T97" s="97"/>
      <c r="U97" s="97"/>
      <c r="V97" s="97"/>
      <c r="W97" s="97"/>
      <c r="X97" s="97"/>
      <c r="Y97" s="97"/>
    </row>
    <row r="98" spans="1:25">
      <c r="A98" s="97"/>
      <c r="B98" s="97"/>
      <c r="C98" s="97"/>
      <c r="D98" s="97"/>
      <c r="E98" s="97"/>
      <c r="F98" s="97"/>
      <c r="G98" s="97"/>
      <c r="H98" s="97"/>
      <c r="I98" s="97"/>
      <c r="J98" s="97"/>
      <c r="K98" s="97"/>
      <c r="L98" s="97"/>
      <c r="M98" s="97"/>
      <c r="N98" s="97"/>
      <c r="O98" s="97"/>
      <c r="P98" s="97"/>
      <c r="Q98" s="97"/>
      <c r="R98" s="97"/>
      <c r="S98" s="97"/>
      <c r="T98" s="97"/>
      <c r="U98" s="97"/>
      <c r="V98" s="97"/>
      <c r="W98" s="97"/>
      <c r="X98" s="97"/>
      <c r="Y98" s="97"/>
    </row>
    <row r="99" spans="1:25">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spans="1:25">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spans="1:25">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spans="1:25">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spans="1:25">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spans="1:25">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spans="1:2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spans="1:25">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spans="1:25">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spans="1:25">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spans="1:25">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spans="1:25">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spans="1:25">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spans="1:25">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spans="1:25">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spans="1:25">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spans="1:2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spans="1:25">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spans="1:25">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spans="1:25">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spans="1:25">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spans="1:25">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spans="1:25">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spans="1:25">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spans="1:25">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spans="1:25">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spans="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spans="1:25">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spans="1:25">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spans="1:25">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spans="1:25">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spans="1:25">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spans="1:25">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spans="1:25">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spans="1:25">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spans="1:25">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spans="1:2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spans="1:25">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spans="1:25">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spans="1:25">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spans="1:25">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spans="1:25">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spans="1:25">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spans="1:25">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spans="1:25">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spans="1:25">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spans="1:2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spans="1:25">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spans="1:25">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spans="1:25">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spans="1:25">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spans="1:25">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spans="1:25">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spans="1:25">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spans="1:25">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spans="1:25">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spans="1:2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spans="1:25">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spans="1:25">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spans="1:25">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spans="1:25">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spans="1:25">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spans="1:25">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spans="1:25">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spans="1:25">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spans="1:25">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spans="1:2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spans="1:25">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spans="1:25">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spans="1:25">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spans="1:25">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spans="1:25">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spans="1:25">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spans="1:25">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spans="1:25">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spans="1:25">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spans="1:2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spans="1:25">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spans="1:25">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spans="1:25">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spans="1:25">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spans="1:25">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spans="1:25">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spans="1:25">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spans="1:25">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spans="1:25">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spans="1:2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spans="1:25">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spans="1:25">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spans="1:25">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spans="1:25">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spans="1:25">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spans="1:25">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spans="1:25">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spans="1:25">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spans="1:25">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spans="1:2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spans="1:25">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spans="1:25">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spans="1:25">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spans="1:25">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spans="1:25">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spans="1:25">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spans="1:25">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spans="1:25">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spans="1:25">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spans="1:2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spans="1:25">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spans="1:25">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spans="1:25">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spans="1:25">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spans="1:25">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spans="1:25">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spans="1:25">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spans="1:25">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spans="1:25">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spans="1:2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spans="1:25">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spans="1:25">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spans="1:25">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spans="1:25">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spans="1:25">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spans="1:25">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spans="1:25">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spans="1:25">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spans="1:25">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spans="1: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spans="1:25">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spans="1:25">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spans="1:25">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spans="1:25">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spans="1:25">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spans="1:25">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spans="1:25">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spans="1:25">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spans="1:25">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spans="1:2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spans="1:25">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spans="1:25">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spans="1:25">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spans="1:25">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spans="1:25">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spans="1:25">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spans="1:25">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spans="1:25">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spans="1:25">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spans="1:2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spans="1:25">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spans="1:25">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spans="1:25">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spans="1:25">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spans="1:25">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spans="1:25">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spans="1:25">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spans="1:25">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spans="1:25">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spans="1:2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spans="1:25">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spans="1:25">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spans="1:25">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spans="1:25">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spans="1:25">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spans="1:25">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spans="1:25">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row>
    <row r="263" spans="1:25">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spans="1:25">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spans="1:2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spans="1:25">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spans="1:25">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spans="1:25">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spans="1:25">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spans="1:25">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spans="1:25">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spans="1:25">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spans="1:25">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spans="1:25">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spans="1:2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spans="1:25">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spans="1:25">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spans="1:25">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spans="1:25">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spans="1:25">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spans="1:25">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spans="1:25">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spans="1:25">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spans="1:25">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spans="1:2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spans="1:25">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spans="1:25">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spans="1:25">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spans="1:25">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row>
    <row r="290" spans="1:25">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row>
    <row r="291" spans="1:25">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row>
    <row r="292" spans="1:25">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row>
    <row r="293" spans="1:25">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row>
    <row r="294" spans="1:25">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row>
    <row r="295" spans="1:2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row>
    <row r="296" spans="1:25">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row>
    <row r="297" spans="1:25">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row>
    <row r="298" spans="1:25">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row>
    <row r="299" spans="1:25">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row>
    <row r="300" spans="1:25">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row>
    <row r="301" spans="1:25">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row>
    <row r="302" spans="1:25">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row>
    <row r="303" spans="1:25">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row>
    <row r="304" spans="1:25">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row>
    <row r="305" spans="1:2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row>
    <row r="306" spans="1:25">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row>
    <row r="307" spans="1:25">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row>
    <row r="308" spans="1:25">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row>
    <row r="309" spans="1:25">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row>
    <row r="310" spans="1:25">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row>
    <row r="311" spans="1:25">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row>
    <row r="312" spans="1:25">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row>
    <row r="313" spans="1:25">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row>
    <row r="314" spans="1:25">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row>
    <row r="315" spans="1:2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row>
    <row r="316" spans="1:25">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row>
    <row r="317" spans="1:25">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row>
    <row r="318" spans="1:25">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row>
    <row r="319" spans="1:25">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row>
    <row r="320" spans="1:25">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row>
    <row r="321" spans="1:25">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row>
    <row r="322" spans="1:25">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row>
    <row r="323" spans="1:25">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spans="1:25">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spans="1: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spans="1:25">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spans="1:25">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spans="1:25">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spans="1:25">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spans="1:25">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spans="1:25">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spans="1:25">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spans="1:25">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spans="1:25">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spans="1:2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spans="1:25">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spans="1:25">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spans="1:25">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spans="1:25">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spans="1:25">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spans="1:25">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spans="1:25">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spans="1:25">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spans="1:25">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spans="1:2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spans="1:25">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spans="1:25">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spans="1:25">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spans="1:25">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row>
    <row r="350" spans="1:25">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row>
    <row r="351" spans="1:25">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row>
    <row r="352" spans="1:25">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row>
    <row r="353" spans="1:25">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row>
    <row r="354" spans="1:25">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row>
    <row r="355" spans="1:2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row>
    <row r="356" spans="1:25">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row>
    <row r="357" spans="1:25">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row>
    <row r="358" spans="1:25">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row>
    <row r="359" spans="1:25">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row>
    <row r="360" spans="1:25">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row>
    <row r="361" spans="1:25">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row>
    <row r="362" spans="1:25">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row>
    <row r="363" spans="1:25">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row>
    <row r="364" spans="1:25">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row>
    <row r="365" spans="1:2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row>
    <row r="366" spans="1:25">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row>
    <row r="367" spans="1:25">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row>
    <row r="368" spans="1:25">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row>
    <row r="369" spans="1:25">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row>
    <row r="370" spans="1:25">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row>
    <row r="371" spans="1:25">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row>
    <row r="372" spans="1:25">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row>
    <row r="373" spans="1:25">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row>
    <row r="374" spans="1:25">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row>
    <row r="375" spans="1:2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row>
    <row r="376" spans="1:25">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row>
    <row r="377" spans="1:25">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row>
    <row r="378" spans="1:25">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row>
    <row r="379" spans="1:25">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row>
    <row r="380" spans="1:25">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row>
    <row r="381" spans="1:25">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row>
    <row r="382" spans="1:25">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row>
    <row r="383" spans="1:25">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row>
    <row r="384" spans="1:25">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row>
    <row r="385" spans="1:2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row>
    <row r="386" spans="1:25">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row>
    <row r="387" spans="1:25">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row>
    <row r="388" spans="1:25">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row>
    <row r="389" spans="1:25">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row>
    <row r="390" spans="1:25">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row>
    <row r="391" spans="1:25">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row>
    <row r="392" spans="1:25">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row>
    <row r="393" spans="1:25">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row>
    <row r="394" spans="1:25">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row>
    <row r="395" spans="1:2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row>
    <row r="396" spans="1:25">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row>
    <row r="397" spans="1:25">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row>
    <row r="398" spans="1:25">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row>
    <row r="399" spans="1:25">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row>
    <row r="400" spans="1:25">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row>
    <row r="401" spans="1:25">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row>
    <row r="402" spans="1:25">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row>
    <row r="403" spans="1:25">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row>
    <row r="404" spans="1:25">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row>
    <row r="405" spans="1:2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row>
    <row r="406" spans="1:25">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row>
    <row r="407" spans="1:25">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row>
    <row r="408" spans="1:25">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row>
    <row r="409" spans="1:25">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row>
    <row r="410" spans="1:25">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row>
    <row r="411" spans="1:25">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row>
    <row r="412" spans="1:25">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row>
    <row r="413" spans="1:25">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row>
    <row r="414" spans="1:25">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row>
    <row r="415" spans="1:2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row>
    <row r="416" spans="1:25">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row>
    <row r="417" spans="1:25">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row>
    <row r="418" spans="1:25">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row>
    <row r="419" spans="1:25">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row>
    <row r="420" spans="1:25">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row>
    <row r="421" spans="1:25">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row>
    <row r="422" spans="1:25">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row>
    <row r="423" spans="1:25">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row>
    <row r="424" spans="1:25">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row>
    <row r="425" spans="1: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row>
    <row r="426" spans="1:25">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row>
    <row r="427" spans="1:25">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row>
    <row r="428" spans="1:25">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row>
    <row r="429" spans="1:25">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row>
    <row r="430" spans="1:25">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row>
    <row r="431" spans="1:25">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row>
    <row r="432" spans="1:25">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row>
    <row r="433" spans="1:25">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row>
    <row r="434" spans="1:25">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row>
    <row r="435" spans="1:2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row>
    <row r="436" spans="1:25">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row>
    <row r="437" spans="1:25">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row>
    <row r="438" spans="1:25">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row>
    <row r="439" spans="1:25">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row>
    <row r="440" spans="1:25">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row>
    <row r="441" spans="1:25">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row>
    <row r="442" spans="1:25">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row>
    <row r="443" spans="1:25">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row>
    <row r="444" spans="1:25">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row>
    <row r="445" spans="1:2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row>
    <row r="446" spans="1:25">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row>
    <row r="447" spans="1:25">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row>
    <row r="448" spans="1:25">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row>
    <row r="449" spans="1:25">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row>
    <row r="450" spans="1:25">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row>
    <row r="451" spans="1:25">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row>
    <row r="452" spans="1:25">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row>
    <row r="453" spans="1:25">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row>
    <row r="454" spans="1:25">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row>
    <row r="455" spans="1:2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row>
    <row r="456" spans="1:25">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row>
    <row r="457" spans="1:25">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row>
    <row r="458" spans="1:25">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row>
    <row r="459" spans="1:25">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row>
    <row r="460" spans="1:25">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row>
    <row r="461" spans="1:25">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row>
    <row r="462" spans="1:25">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row>
    <row r="463" spans="1:25">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row>
    <row r="464" spans="1:25">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row>
    <row r="465" spans="1:2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row>
    <row r="466" spans="1:25">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row>
    <row r="467" spans="1:25">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row>
    <row r="468" spans="1:25">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row>
    <row r="469" spans="1:25">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row>
    <row r="470" spans="1:25">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row>
    <row r="471" spans="1:25">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row>
    <row r="472" spans="1:25">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row>
    <row r="473" spans="1:25">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row>
    <row r="474" spans="1:25">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row>
    <row r="475" spans="1:2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row>
    <row r="476" spans="1:25">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row>
    <row r="477" spans="1:25">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row>
    <row r="478" spans="1:25">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row>
    <row r="479" spans="1:25">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row>
    <row r="480" spans="1:25">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row>
    <row r="481" spans="1:25">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row>
    <row r="482" spans="1:25">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row>
    <row r="483" spans="1:25">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row>
    <row r="484" spans="1:25">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row>
    <row r="485" spans="1:2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row>
    <row r="486" spans="1:25">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row>
    <row r="487" spans="1:25">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row>
    <row r="488" spans="1:25">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row>
    <row r="489" spans="1:25">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row>
    <row r="490" spans="1:25">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spans="1:25">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spans="1:25">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spans="1:25">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spans="1:25">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spans="1:2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spans="1:25">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spans="1:25">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spans="1:25">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spans="1:25">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spans="1:25">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spans="1:25">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spans="1:25">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spans="1:25">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spans="1:25">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spans="1:2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spans="1:25">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spans="1:25">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spans="1:25">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spans="1:25">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spans="1:25">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spans="1:25">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spans="1:25">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spans="1:25">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spans="1:25">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spans="1:2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spans="1:25">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spans="1:25">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spans="1:25">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spans="1:25">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spans="1:25">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spans="1:25">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spans="1:25">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spans="1:25">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spans="1:25">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spans="1: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spans="1:25">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spans="1:25">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spans="1:25">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spans="1:25">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spans="1:25">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spans="1:25">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spans="1:25">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spans="1:25">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spans="1:25">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spans="1:2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spans="1:25">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spans="1:25">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spans="1:25">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spans="1:25">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spans="1:25">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spans="1:25">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spans="1:25">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spans="1:25">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spans="1:25">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spans="1:2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spans="1:25">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spans="1:25">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spans="1:25">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spans="1:25">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spans="1:25">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spans="1:25">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spans="1:25">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spans="1:25">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spans="1:25">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spans="1:2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spans="1:25">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spans="1:25">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spans="1:25">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spans="1:25">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spans="1:25">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spans="1:25">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spans="1:25">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spans="1:25">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spans="1:25">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spans="1:2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spans="1:25">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spans="1:25">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spans="1:25">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spans="1:25">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spans="1:25">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spans="1:25">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spans="1:25">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spans="1:25">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spans="1:25">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spans="1:2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spans="1:25">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spans="1:25">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spans="1:25">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spans="1:25">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spans="1:25">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spans="1:25">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spans="1:25">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spans="1:25">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spans="1:25">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spans="1:2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spans="1:25">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spans="1:25">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spans="1:25">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spans="1:25">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spans="1:25">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spans="1:25">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spans="1:25">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spans="1:25">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spans="1:25">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spans="1:2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spans="1:25">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spans="1:25">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spans="1:25">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spans="1:25">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spans="1:25">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spans="1:25">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spans="1:25">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spans="1:25">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spans="1:25">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spans="1:2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spans="1:25">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spans="1:25">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spans="1:25">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spans="1:25">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spans="1:25">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spans="1:25">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spans="1:25">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spans="1:25">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spans="1:25">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spans="1:2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spans="1:25">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spans="1:25">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spans="1:25">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spans="1:25">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spans="1:25">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spans="1:25">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spans="1:25">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spans="1:25">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spans="1:25">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spans="1: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spans="1:25">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spans="1:25">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spans="1:25">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spans="1:25">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spans="1:25">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spans="1:25">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spans="1:25">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spans="1:25">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spans="1:25">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spans="1:2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spans="1:25">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spans="1:25">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spans="1:25">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spans="1:25">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spans="1:25">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spans="1:25">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spans="1:25">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spans="1:25">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spans="1:25">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spans="1:2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spans="1:25">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spans="1:25">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spans="1:25">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spans="1:25">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spans="1:25">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spans="1:25">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spans="1:25">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spans="1:25">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spans="1:25">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spans="1:2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spans="1:25">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spans="1:25">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spans="1:25">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spans="1:25">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spans="1:25">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spans="1:25">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spans="1:25">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spans="1:25">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spans="1:25">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spans="1:2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spans="1:25">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spans="1:25">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spans="1:25">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spans="1:25">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spans="1:25">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spans="1:25">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spans="1:25">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spans="1:25">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spans="1:25">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spans="1:2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spans="1:25">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spans="1:25">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spans="1:25">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spans="1:25">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spans="1:25">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spans="1:25">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spans="1:25">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spans="1:25">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spans="1:25">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spans="1:2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spans="1:25">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spans="1:25">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spans="1:25">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spans="1:25">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spans="1:25">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spans="1:25">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spans="1:25">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spans="1:25">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spans="1:25">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spans="1:2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spans="1:25">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spans="1:25">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spans="1:25">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spans="1:25">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spans="1:25">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spans="1:25">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spans="1:25">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spans="1:25">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spans="1:25">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spans="1:2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spans="1:25">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spans="1:25">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spans="1:25">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spans="1:25">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spans="1:25">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spans="1:25">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spans="1:25">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spans="1:25">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spans="1:25">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spans="1:2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spans="1:25">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spans="1:25">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spans="1:25">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spans="1:25">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spans="1:25">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spans="1:25">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spans="1:25">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spans="1:25">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spans="1:25">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spans="1: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spans="1:25">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spans="1:25">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spans="1:25">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spans="1:25">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spans="1:25">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spans="1:25">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spans="1:25">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spans="1:25">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spans="1:25">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spans="1:2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spans="1:25">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spans="1:25">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spans="1:25">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spans="1:25">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spans="1:25">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spans="1:25">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spans="1:25">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spans="1:25">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spans="1:25">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spans="1:2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spans="1:25">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spans="1:25">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spans="1:25">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spans="1:25">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spans="1:25">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spans="1:25">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spans="1:25">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spans="1:25">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spans="1:25">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spans="1:2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spans="1:25">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spans="1:25">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spans="1:25">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spans="1:25">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spans="1:25">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spans="1:25">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spans="1:25">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spans="1:25">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spans="1:25">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spans="1:2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spans="1:25">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spans="1:25">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spans="1:25">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spans="1:25">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spans="1:25">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spans="1:25">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spans="1:25">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spans="1:25">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spans="1:25">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spans="1:2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spans="1:25">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spans="1:25">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spans="1:25">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spans="1:25">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spans="1:25">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spans="1:25">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spans="1:25">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spans="1:25">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spans="1:25">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spans="1:2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spans="1:25">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spans="1:25">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spans="1:25">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spans="1:25">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spans="1:25">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spans="1:25">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spans="1:25">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spans="1:25">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spans="1:25">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spans="1:2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spans="1:25">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spans="1:25">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spans="1:25">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spans="1:25">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spans="1:25">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spans="1:25">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spans="1:25">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spans="1:25">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spans="1:25">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spans="1:2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spans="1:25">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spans="1:25">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spans="1:25">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spans="1:25">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spans="1:25">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spans="1:25">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spans="1:25">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spans="1:25">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spans="1:25">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spans="1:2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spans="1:25">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spans="1:25">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spans="1:25">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spans="1:25">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spans="1:25">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spans="1:25">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spans="1:25">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spans="1:25">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spans="1:25">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spans="1: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spans="1:25">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spans="1:25">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spans="1:25">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spans="1:25">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spans="1:25">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spans="1:25">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spans="1:25">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spans="1:25">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spans="1:25">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spans="1:2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spans="1:25">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spans="1:25">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spans="1:25">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spans="1:25">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spans="1:25">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spans="1:25">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spans="1:25">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spans="1:25">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spans="1:25">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spans="1:2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spans="1:25">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spans="1:25">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spans="1:25">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spans="1:25">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spans="1:25">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spans="1:25">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spans="1:25">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spans="1:25">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spans="1:25">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spans="1:2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spans="1:25">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spans="1:25">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spans="1:25">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spans="1:25">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spans="1:25">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spans="1:25">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spans="1:25">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spans="1:25">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spans="1:25">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spans="1:2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spans="1:25">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spans="1:25">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spans="1:25">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spans="1:25">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spans="1:25">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spans="1:25">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spans="1:25">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spans="1:25">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spans="1:25">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spans="1:2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spans="1:25">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spans="1:25">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spans="1:25">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spans="1:25">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spans="1:25">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spans="1:25">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spans="1:25">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spans="1:25">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spans="1:25">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spans="1:2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spans="1:25">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spans="1:25">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spans="1:25">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spans="1:25">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spans="1:25">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spans="1:25">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spans="1:25">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spans="1:25">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spans="1:25">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spans="1:2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spans="1:25">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spans="1:25">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spans="1:25">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spans="1:25">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spans="1:25">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spans="1:25">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spans="1:25">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spans="1:25">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spans="1:25">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spans="1:2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spans="1:25">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spans="1:25">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spans="1:25">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spans="1:25">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spans="1:25">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spans="1:25">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spans="1:25">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spans="1:25">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spans="1:25">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spans="1:2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spans="1:25">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spans="1:25">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spans="1:25">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spans="1:25">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spans="1:25">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spans="1:25">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spans="1:25">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spans="1:25">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spans="1:25">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spans="1: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spans="1:25">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spans="1:25">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spans="1:25">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spans="1:25">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spans="1:25">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spans="1:25">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spans="1:25">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spans="1:25">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spans="1:25">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spans="1:2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spans="1:25">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spans="1:25">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spans="1:25">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spans="1:25">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spans="1:25">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spans="1:25">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spans="1:25">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spans="1:25">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spans="1:25">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spans="1:2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spans="1:25">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spans="1:25">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spans="1:25">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spans="1:25">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spans="1:25">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spans="1:25">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spans="1:25">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spans="1:25">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spans="1:25">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spans="1:2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spans="1:25">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spans="1:25">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spans="1:25">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spans="1:25">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spans="1:25">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spans="1:25">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spans="1:25">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spans="1:25">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spans="1:25">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spans="1:2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spans="1:25">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spans="1:25">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spans="1:25">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spans="1:25">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spans="1:25">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spans="1:25">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spans="1:25">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spans="1:25">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spans="1:25">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spans="1:2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spans="1:25">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spans="1:25">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spans="1:25">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spans="1:25">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row r="980" spans="1:25">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row>
    <row r="981" spans="1:25">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row>
    <row r="982" spans="1:25">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row>
    <row r="983" spans="1:25">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row>
    <row r="984" spans="1:25">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row>
    <row r="985" spans="1:2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row>
    <row r="986" spans="1:25">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row>
    <row r="987" spans="1:25">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row>
    <row r="988" spans="1:25">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row>
    <row r="989" spans="1:25">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row>
    <row r="990" spans="1:25">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row>
    <row r="991" spans="1:25">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row>
    <row r="992" spans="1:25">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row>
    <row r="993" spans="1:25">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row>
    <row r="994" spans="1:25">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row>
    <row r="995" spans="1:2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row>
    <row r="996" spans="1:25">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row>
    <row r="997" spans="1:25">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row>
    <row r="998" spans="1:25">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row>
    <row r="999" spans="1:25">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row>
    <row r="1000" spans="1:25">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0"/>
  <sheetViews>
    <sheetView topLeftCell="A14" workbookViewId="0">
      <selection activeCell="A1" sqref="A1"/>
    </sheetView>
  </sheetViews>
  <sheetFormatPr defaultColWidth="12.5714285714286" defaultRowHeight="15.75"/>
  <cols>
    <col min="1" max="1" width="7" style="84" customWidth="1"/>
    <col min="2" max="2" width="80.2857142857143" style="84" customWidth="1"/>
    <col min="3" max="3" width="40" style="84" customWidth="1"/>
    <col min="4" max="4" width="17.8571428571429" style="84" customWidth="1"/>
    <col min="5" max="5" width="13" style="84" customWidth="1"/>
    <col min="6" max="6" width="11.2857142857143" style="84" customWidth="1"/>
    <col min="7" max="16384" width="12.5714285714286" style="84"/>
  </cols>
  <sheetData>
    <row r="1" spans="1:25">
      <c r="A1" s="85" t="s">
        <v>8</v>
      </c>
      <c r="B1" s="86" t="s">
        <v>9</v>
      </c>
      <c r="C1" s="86" t="s">
        <v>10</v>
      </c>
      <c r="D1" s="86" t="s">
        <v>11</v>
      </c>
      <c r="E1" s="86" t="s">
        <v>12</v>
      </c>
      <c r="F1" s="86" t="s">
        <v>13</v>
      </c>
      <c r="G1" s="21"/>
      <c r="H1" s="21"/>
      <c r="I1" s="21"/>
      <c r="J1" s="21"/>
      <c r="K1" s="21"/>
      <c r="L1" s="21"/>
      <c r="M1" s="21"/>
      <c r="N1" s="21"/>
      <c r="O1" s="21"/>
      <c r="P1" s="21"/>
      <c r="Q1" s="21"/>
      <c r="R1" s="21"/>
      <c r="S1" s="21"/>
      <c r="T1" s="21"/>
      <c r="U1" s="21"/>
      <c r="V1" s="21"/>
      <c r="W1" s="21"/>
      <c r="X1" s="21"/>
      <c r="Y1" s="21"/>
    </row>
    <row r="2" spans="1:25">
      <c r="A2" s="87">
        <v>1</v>
      </c>
      <c r="B2" s="88" t="s">
        <v>14</v>
      </c>
      <c r="C2" s="89"/>
      <c r="D2" s="89"/>
      <c r="E2" s="89"/>
      <c r="F2" s="89"/>
      <c r="G2" s="21"/>
      <c r="H2" s="21"/>
      <c r="I2" s="21"/>
      <c r="J2" s="21"/>
      <c r="K2" s="21"/>
      <c r="L2" s="21"/>
      <c r="M2" s="21"/>
      <c r="N2" s="21"/>
      <c r="O2" s="21"/>
      <c r="P2" s="21"/>
      <c r="Q2" s="21"/>
      <c r="R2" s="21"/>
      <c r="S2" s="21"/>
      <c r="T2" s="21"/>
      <c r="U2" s="21"/>
      <c r="V2" s="21"/>
      <c r="W2" s="21"/>
      <c r="X2" s="21"/>
      <c r="Y2" s="21"/>
    </row>
    <row r="3" spans="1:25">
      <c r="A3" s="90" t="s">
        <v>15</v>
      </c>
      <c r="B3" s="90" t="s">
        <v>16</v>
      </c>
      <c r="C3" s="90" t="s">
        <v>17</v>
      </c>
      <c r="D3" s="90" t="s">
        <v>18</v>
      </c>
      <c r="E3" s="91">
        <v>46059</v>
      </c>
      <c r="F3" s="91">
        <v>46087</v>
      </c>
      <c r="G3" s="21"/>
      <c r="H3" s="21"/>
      <c r="I3" s="21"/>
      <c r="J3" s="21"/>
      <c r="K3" s="21"/>
      <c r="L3" s="21"/>
      <c r="M3" s="21"/>
      <c r="N3" s="21"/>
      <c r="O3" s="21"/>
      <c r="P3" s="21"/>
      <c r="Q3" s="21"/>
      <c r="R3" s="21"/>
      <c r="S3" s="21"/>
      <c r="T3" s="21"/>
      <c r="U3" s="21"/>
      <c r="V3" s="21"/>
      <c r="W3" s="21"/>
      <c r="X3" s="21"/>
      <c r="Y3" s="21"/>
    </row>
    <row r="4" ht="31.5" spans="1:25">
      <c r="A4" s="90" t="s">
        <v>19</v>
      </c>
      <c r="B4" s="90" t="s">
        <v>20</v>
      </c>
      <c r="C4" s="90" t="s">
        <v>21</v>
      </c>
      <c r="D4" s="90" t="s">
        <v>22</v>
      </c>
      <c r="E4" s="91">
        <v>46088</v>
      </c>
      <c r="F4" s="91">
        <v>46097</v>
      </c>
      <c r="G4" s="21"/>
      <c r="H4" s="21"/>
      <c r="I4" s="21"/>
      <c r="J4" s="21"/>
      <c r="K4" s="21"/>
      <c r="L4" s="21"/>
      <c r="M4" s="21"/>
      <c r="N4" s="21"/>
      <c r="O4" s="21"/>
      <c r="P4" s="21"/>
      <c r="Q4" s="21"/>
      <c r="R4" s="21"/>
      <c r="S4" s="21"/>
      <c r="T4" s="21"/>
      <c r="U4" s="21"/>
      <c r="V4" s="21"/>
      <c r="W4" s="21"/>
      <c r="X4" s="21"/>
      <c r="Y4" s="21"/>
    </row>
    <row r="5" ht="31.5" spans="1:25">
      <c r="A5" s="90" t="s">
        <v>23</v>
      </c>
      <c r="B5" s="92" t="s">
        <v>24</v>
      </c>
      <c r="C5" s="90" t="s">
        <v>25</v>
      </c>
      <c r="D5" s="90" t="s">
        <v>26</v>
      </c>
      <c r="E5" s="91">
        <v>46098</v>
      </c>
      <c r="F5" s="91">
        <v>46108</v>
      </c>
      <c r="G5" s="21"/>
      <c r="H5" s="21"/>
      <c r="I5" s="21"/>
      <c r="J5" s="21"/>
      <c r="K5" s="21"/>
      <c r="L5" s="21"/>
      <c r="M5" s="21"/>
      <c r="N5" s="21"/>
      <c r="O5" s="21"/>
      <c r="P5" s="21"/>
      <c r="Q5" s="21"/>
      <c r="R5" s="21"/>
      <c r="S5" s="21"/>
      <c r="T5" s="21"/>
      <c r="U5" s="21"/>
      <c r="V5" s="21"/>
      <c r="W5" s="21"/>
      <c r="X5" s="21"/>
      <c r="Y5" s="21"/>
    </row>
    <row r="6" ht="31.5" spans="1:25">
      <c r="A6" s="87">
        <v>2</v>
      </c>
      <c r="B6" s="89" t="s">
        <v>27</v>
      </c>
      <c r="C6" s="89"/>
      <c r="D6" s="89"/>
      <c r="E6" s="89"/>
      <c r="F6" s="89"/>
      <c r="G6" s="21"/>
      <c r="H6" s="21"/>
      <c r="I6" s="21"/>
      <c r="J6" s="21"/>
      <c r="K6" s="21"/>
      <c r="L6" s="21"/>
      <c r="M6" s="21"/>
      <c r="N6" s="21"/>
      <c r="O6" s="21"/>
      <c r="P6" s="21"/>
      <c r="Q6" s="21"/>
      <c r="R6" s="21"/>
      <c r="S6" s="21"/>
      <c r="T6" s="21"/>
      <c r="U6" s="21"/>
      <c r="V6" s="21"/>
      <c r="W6" s="21"/>
      <c r="X6" s="21"/>
      <c r="Y6" s="21"/>
    </row>
    <row r="7" spans="1:25">
      <c r="A7" s="90" t="s">
        <v>28</v>
      </c>
      <c r="B7" s="90" t="s">
        <v>29</v>
      </c>
      <c r="C7" s="90" t="s">
        <v>30</v>
      </c>
      <c r="D7" s="90" t="s">
        <v>22</v>
      </c>
      <c r="E7" s="91">
        <v>46109</v>
      </c>
      <c r="F7" s="91">
        <v>46117</v>
      </c>
      <c r="G7" s="21"/>
      <c r="H7" s="21"/>
      <c r="I7" s="21"/>
      <c r="J7" s="21"/>
      <c r="K7" s="21"/>
      <c r="L7" s="21"/>
      <c r="M7" s="21"/>
      <c r="N7" s="21"/>
      <c r="O7" s="21"/>
      <c r="P7" s="21"/>
      <c r="Q7" s="21"/>
      <c r="R7" s="21"/>
      <c r="S7" s="21"/>
      <c r="T7" s="21"/>
      <c r="U7" s="21"/>
      <c r="V7" s="21"/>
      <c r="W7" s="21"/>
      <c r="X7" s="21"/>
      <c r="Y7" s="21"/>
    </row>
    <row r="8" ht="31.5" spans="1:25">
      <c r="A8" s="90" t="s">
        <v>31</v>
      </c>
      <c r="B8" s="92" t="s">
        <v>32</v>
      </c>
      <c r="C8" s="90" t="s">
        <v>33</v>
      </c>
      <c r="D8" s="90" t="s">
        <v>26</v>
      </c>
      <c r="E8" s="91">
        <v>46118</v>
      </c>
      <c r="F8" s="91">
        <v>46128</v>
      </c>
      <c r="G8" s="21"/>
      <c r="H8" s="21"/>
      <c r="I8" s="21"/>
      <c r="J8" s="21"/>
      <c r="K8" s="21"/>
      <c r="L8" s="21"/>
      <c r="M8" s="21"/>
      <c r="N8" s="21"/>
      <c r="O8" s="21"/>
      <c r="P8" s="21"/>
      <c r="Q8" s="21"/>
      <c r="R8" s="21"/>
      <c r="S8" s="21"/>
      <c r="T8" s="21"/>
      <c r="U8" s="21"/>
      <c r="V8" s="21"/>
      <c r="W8" s="21"/>
      <c r="X8" s="21"/>
      <c r="Y8" s="21"/>
    </row>
    <row r="9" spans="1:25">
      <c r="A9" s="90" t="s">
        <v>34</v>
      </c>
      <c r="B9" s="90" t="s">
        <v>35</v>
      </c>
      <c r="C9" s="90" t="s">
        <v>36</v>
      </c>
      <c r="D9" s="90" t="s">
        <v>18</v>
      </c>
      <c r="E9" s="91">
        <v>46129</v>
      </c>
      <c r="F9" s="91">
        <v>46142</v>
      </c>
      <c r="G9" s="21"/>
      <c r="H9" s="21"/>
      <c r="I9" s="21"/>
      <c r="J9" s="21"/>
      <c r="K9" s="21"/>
      <c r="L9" s="21"/>
      <c r="M9" s="21"/>
      <c r="N9" s="21"/>
      <c r="O9" s="21"/>
      <c r="P9" s="21"/>
      <c r="Q9" s="21"/>
      <c r="R9" s="21"/>
      <c r="S9" s="21"/>
      <c r="T9" s="21"/>
      <c r="U9" s="21"/>
      <c r="V9" s="21"/>
      <c r="W9" s="21"/>
      <c r="X9" s="21"/>
      <c r="Y9" s="21"/>
    </row>
    <row r="10" ht="31.5" spans="1:25">
      <c r="A10" s="93">
        <v>3</v>
      </c>
      <c r="B10" s="94" t="s">
        <v>37</v>
      </c>
      <c r="C10" s="94"/>
      <c r="D10" s="94"/>
      <c r="E10" s="94"/>
      <c r="F10" s="94"/>
      <c r="G10" s="21"/>
      <c r="H10" s="21"/>
      <c r="I10" s="21"/>
      <c r="J10" s="21"/>
      <c r="K10" s="21"/>
      <c r="L10" s="21"/>
      <c r="M10" s="21"/>
      <c r="N10" s="21"/>
      <c r="O10" s="21"/>
      <c r="P10" s="21"/>
      <c r="Q10" s="21"/>
      <c r="R10" s="21"/>
      <c r="S10" s="21"/>
      <c r="T10" s="21"/>
      <c r="U10" s="21"/>
      <c r="V10" s="21"/>
      <c r="W10" s="21"/>
      <c r="X10" s="21"/>
      <c r="Y10" s="21"/>
    </row>
    <row r="11" ht="31.5" spans="1:25">
      <c r="A11" s="90" t="s">
        <v>38</v>
      </c>
      <c r="B11" s="90" t="s">
        <v>39</v>
      </c>
      <c r="C11" s="92" t="s">
        <v>40</v>
      </c>
      <c r="D11" s="90" t="s">
        <v>22</v>
      </c>
      <c r="E11" s="91">
        <v>46146</v>
      </c>
      <c r="F11" s="91">
        <v>46153</v>
      </c>
      <c r="G11" s="21"/>
      <c r="H11" s="21"/>
      <c r="I11" s="21"/>
      <c r="J11" s="21"/>
      <c r="K11" s="21"/>
      <c r="L11" s="21"/>
      <c r="M11" s="21"/>
      <c r="N11" s="21"/>
      <c r="O11" s="21"/>
      <c r="P11" s="21"/>
      <c r="Q11" s="21"/>
      <c r="R11" s="21"/>
      <c r="S11" s="21"/>
      <c r="T11" s="21"/>
      <c r="U11" s="21"/>
      <c r="V11" s="21"/>
      <c r="W11" s="21"/>
      <c r="X11" s="21"/>
      <c r="Y11" s="21"/>
    </row>
    <row r="12" ht="31.5" spans="1:25">
      <c r="A12" s="90" t="s">
        <v>41</v>
      </c>
      <c r="B12" s="92" t="s">
        <v>42</v>
      </c>
      <c r="C12" s="92" t="s">
        <v>43</v>
      </c>
      <c r="D12" s="90" t="s">
        <v>18</v>
      </c>
      <c r="E12" s="91">
        <v>46154</v>
      </c>
      <c r="F12" s="91">
        <v>46162</v>
      </c>
      <c r="G12" s="21"/>
      <c r="H12" s="21"/>
      <c r="I12" s="21"/>
      <c r="J12" s="21"/>
      <c r="K12" s="21"/>
      <c r="L12" s="21"/>
      <c r="M12" s="21"/>
      <c r="N12" s="21"/>
      <c r="O12" s="21"/>
      <c r="P12" s="21"/>
      <c r="Q12" s="21"/>
      <c r="R12" s="21"/>
      <c r="S12" s="21"/>
      <c r="T12" s="21"/>
      <c r="U12" s="21"/>
      <c r="V12" s="21"/>
      <c r="W12" s="21"/>
      <c r="X12" s="21"/>
      <c r="Y12" s="21"/>
    </row>
    <row r="13" ht="31.5" spans="1:25">
      <c r="A13" s="90" t="s">
        <v>44</v>
      </c>
      <c r="B13" s="92" t="s">
        <v>45</v>
      </c>
      <c r="C13" s="90" t="s">
        <v>46</v>
      </c>
      <c r="D13" s="90" t="s">
        <v>26</v>
      </c>
      <c r="E13" s="91">
        <v>46163</v>
      </c>
      <c r="F13" s="91">
        <v>46171</v>
      </c>
      <c r="G13" s="21"/>
      <c r="H13" s="21"/>
      <c r="I13" s="21"/>
      <c r="J13" s="21"/>
      <c r="K13" s="21"/>
      <c r="L13" s="21"/>
      <c r="M13" s="21"/>
      <c r="N13" s="21"/>
      <c r="O13" s="21"/>
      <c r="P13" s="21"/>
      <c r="Q13" s="21"/>
      <c r="R13" s="21"/>
      <c r="S13" s="21"/>
      <c r="T13" s="21"/>
      <c r="U13" s="21"/>
      <c r="V13" s="21"/>
      <c r="W13" s="21"/>
      <c r="X13" s="21"/>
      <c r="Y13" s="21"/>
    </row>
    <row r="14" ht="31.5" spans="1:25">
      <c r="A14" s="93">
        <v>4</v>
      </c>
      <c r="B14" s="94" t="s">
        <v>47</v>
      </c>
      <c r="C14" s="94"/>
      <c r="D14" s="94"/>
      <c r="E14" s="94"/>
      <c r="F14" s="94"/>
      <c r="G14" s="21"/>
      <c r="H14" s="21"/>
      <c r="I14" s="21"/>
      <c r="J14" s="21"/>
      <c r="K14" s="21"/>
      <c r="L14" s="21"/>
      <c r="M14" s="21"/>
      <c r="N14" s="21"/>
      <c r="O14" s="21"/>
      <c r="P14" s="21"/>
      <c r="Q14" s="21"/>
      <c r="R14" s="21"/>
      <c r="S14" s="21"/>
      <c r="T14" s="21"/>
      <c r="U14" s="21"/>
      <c r="V14" s="21"/>
      <c r="W14" s="21"/>
      <c r="X14" s="21"/>
      <c r="Y14" s="21"/>
    </row>
    <row r="15" ht="31.5" spans="1:25">
      <c r="A15" s="90" t="s">
        <v>48</v>
      </c>
      <c r="B15" s="92" t="s">
        <v>49</v>
      </c>
      <c r="C15" s="92" t="s">
        <v>50</v>
      </c>
      <c r="D15" s="90" t="s">
        <v>51</v>
      </c>
      <c r="E15" s="91">
        <v>46174</v>
      </c>
      <c r="F15" s="91">
        <v>46185</v>
      </c>
      <c r="G15" s="21"/>
      <c r="H15" s="21"/>
      <c r="I15" s="21"/>
      <c r="J15" s="21"/>
      <c r="K15" s="21"/>
      <c r="L15" s="21"/>
      <c r="M15" s="21"/>
      <c r="N15" s="21"/>
      <c r="O15" s="21"/>
      <c r="P15" s="21"/>
      <c r="Q15" s="21"/>
      <c r="R15" s="21"/>
      <c r="S15" s="21"/>
      <c r="T15" s="21"/>
      <c r="U15" s="21"/>
      <c r="V15" s="21"/>
      <c r="W15" s="21"/>
      <c r="X15" s="21"/>
      <c r="Y15" s="21"/>
    </row>
    <row r="16" ht="31.5" spans="1:25">
      <c r="A16" s="90" t="s">
        <v>52</v>
      </c>
      <c r="B16" s="92" t="s">
        <v>53</v>
      </c>
      <c r="C16" s="92" t="s">
        <v>54</v>
      </c>
      <c r="D16" s="90" t="s">
        <v>22</v>
      </c>
      <c r="E16" s="91">
        <v>46188</v>
      </c>
      <c r="F16" s="91">
        <v>46199</v>
      </c>
      <c r="G16" s="21"/>
      <c r="H16" s="21"/>
      <c r="I16" s="21"/>
      <c r="J16" s="21"/>
      <c r="K16" s="21"/>
      <c r="L16" s="21"/>
      <c r="M16" s="21"/>
      <c r="N16" s="21"/>
      <c r="O16" s="21"/>
      <c r="P16" s="21"/>
      <c r="Q16" s="21"/>
      <c r="R16" s="21"/>
      <c r="S16" s="21"/>
      <c r="T16" s="21"/>
      <c r="U16" s="21"/>
      <c r="V16" s="21"/>
      <c r="W16" s="21"/>
      <c r="X16" s="21"/>
      <c r="Y16" s="21"/>
    </row>
    <row r="17" ht="31.5" spans="1:25">
      <c r="A17" s="90" t="s">
        <v>55</v>
      </c>
      <c r="B17" s="92" t="s">
        <v>56</v>
      </c>
      <c r="C17" s="92" t="s">
        <v>57</v>
      </c>
      <c r="D17" s="90" t="s">
        <v>26</v>
      </c>
      <c r="E17" s="91">
        <v>46202</v>
      </c>
      <c r="F17" s="91">
        <v>46209</v>
      </c>
      <c r="G17" s="21"/>
      <c r="H17" s="21"/>
      <c r="I17" s="21"/>
      <c r="J17" s="21"/>
      <c r="K17" s="21"/>
      <c r="L17" s="21"/>
      <c r="M17" s="21"/>
      <c r="N17" s="21"/>
      <c r="O17" s="21"/>
      <c r="P17" s="21"/>
      <c r="Q17" s="21"/>
      <c r="R17" s="21"/>
      <c r="S17" s="21"/>
      <c r="T17" s="21"/>
      <c r="U17" s="21"/>
      <c r="V17" s="21"/>
      <c r="W17" s="21"/>
      <c r="X17" s="21"/>
      <c r="Y17" s="21"/>
    </row>
    <row r="18" spans="1:25">
      <c r="A18" s="93">
        <v>5</v>
      </c>
      <c r="B18" s="95" t="s">
        <v>58</v>
      </c>
      <c r="C18" s="94"/>
      <c r="D18" s="94"/>
      <c r="E18" s="94"/>
      <c r="F18" s="94"/>
      <c r="G18" s="21"/>
      <c r="H18" s="21"/>
      <c r="I18" s="21"/>
      <c r="J18" s="21"/>
      <c r="K18" s="21"/>
      <c r="L18" s="21"/>
      <c r="M18" s="21"/>
      <c r="N18" s="21"/>
      <c r="O18" s="21"/>
      <c r="P18" s="21"/>
      <c r="Q18" s="21"/>
      <c r="R18" s="21"/>
      <c r="S18" s="21"/>
      <c r="T18" s="21"/>
      <c r="U18" s="21"/>
      <c r="V18" s="21"/>
      <c r="W18" s="21"/>
      <c r="X18" s="21"/>
      <c r="Y18" s="21"/>
    </row>
    <row r="19" ht="31.5" spans="1:25">
      <c r="A19" s="90" t="s">
        <v>59</v>
      </c>
      <c r="B19" s="92" t="s">
        <v>60</v>
      </c>
      <c r="C19" s="92" t="s">
        <v>61</v>
      </c>
      <c r="D19" s="90" t="s">
        <v>62</v>
      </c>
      <c r="E19" s="91">
        <v>46213</v>
      </c>
      <c r="F19" s="91">
        <v>46248</v>
      </c>
      <c r="G19" s="21"/>
      <c r="H19" s="21"/>
      <c r="I19" s="21"/>
      <c r="J19" s="21"/>
      <c r="K19" s="21"/>
      <c r="L19" s="21"/>
      <c r="M19" s="21"/>
      <c r="N19" s="21"/>
      <c r="O19" s="21"/>
      <c r="P19" s="21"/>
      <c r="Q19" s="21"/>
      <c r="R19" s="21"/>
      <c r="S19" s="21"/>
      <c r="T19" s="21"/>
      <c r="U19" s="21"/>
      <c r="V19" s="21"/>
      <c r="W19" s="21"/>
      <c r="X19" s="21"/>
      <c r="Y19" s="21"/>
    </row>
    <row r="20" ht="31.5" spans="1:25">
      <c r="A20" s="90" t="s">
        <v>63</v>
      </c>
      <c r="B20" s="92" t="s">
        <v>64</v>
      </c>
      <c r="C20" s="92" t="s">
        <v>65</v>
      </c>
      <c r="D20" s="90" t="s">
        <v>22</v>
      </c>
      <c r="E20" s="91">
        <v>46251</v>
      </c>
      <c r="F20" s="91">
        <v>46283</v>
      </c>
      <c r="G20" s="21"/>
      <c r="H20" s="21"/>
      <c r="I20" s="21"/>
      <c r="J20" s="21"/>
      <c r="K20" s="21"/>
      <c r="L20" s="21"/>
      <c r="M20" s="21"/>
      <c r="N20" s="21"/>
      <c r="O20" s="21"/>
      <c r="P20" s="21"/>
      <c r="Q20" s="21"/>
      <c r="R20" s="21"/>
      <c r="S20" s="21"/>
      <c r="T20" s="21"/>
      <c r="U20" s="21"/>
      <c r="V20" s="21"/>
      <c r="W20" s="21"/>
      <c r="X20" s="21"/>
      <c r="Y20" s="21"/>
    </row>
    <row r="21" ht="31.5" spans="1:25">
      <c r="A21" s="90" t="s">
        <v>66</v>
      </c>
      <c r="B21" s="92" t="s">
        <v>67</v>
      </c>
      <c r="C21" s="92" t="s">
        <v>68</v>
      </c>
      <c r="D21" s="90" t="s">
        <v>26</v>
      </c>
      <c r="E21" s="91">
        <v>46286</v>
      </c>
      <c r="F21" s="91">
        <v>46325</v>
      </c>
      <c r="G21" s="21"/>
      <c r="H21" s="21"/>
      <c r="I21" s="21"/>
      <c r="J21" s="21"/>
      <c r="K21" s="21"/>
      <c r="L21" s="21"/>
      <c r="M21" s="21"/>
      <c r="N21" s="21"/>
      <c r="O21" s="21"/>
      <c r="P21" s="21"/>
      <c r="Q21" s="21"/>
      <c r="R21" s="21"/>
      <c r="S21" s="21"/>
      <c r="T21" s="21"/>
      <c r="U21" s="21"/>
      <c r="V21" s="21"/>
      <c r="W21" s="21"/>
      <c r="X21" s="21"/>
      <c r="Y21" s="21"/>
    </row>
    <row r="22" ht="31.5" spans="1:25">
      <c r="A22" s="90" t="s">
        <v>69</v>
      </c>
      <c r="B22" s="92" t="s">
        <v>70</v>
      </c>
      <c r="C22" s="92" t="s">
        <v>71</v>
      </c>
      <c r="D22" s="90" t="s">
        <v>26</v>
      </c>
      <c r="E22" s="91">
        <v>46328</v>
      </c>
      <c r="F22" s="91">
        <v>46339</v>
      </c>
      <c r="G22" s="21"/>
      <c r="H22" s="21"/>
      <c r="I22" s="21"/>
      <c r="J22" s="21"/>
      <c r="K22" s="21"/>
      <c r="L22" s="21"/>
      <c r="M22" s="21"/>
      <c r="N22" s="21"/>
      <c r="O22" s="21"/>
      <c r="P22" s="21"/>
      <c r="Q22" s="21"/>
      <c r="R22" s="21"/>
      <c r="S22" s="21"/>
      <c r="T22" s="21"/>
      <c r="U22" s="21"/>
      <c r="V22" s="21"/>
      <c r="W22" s="21"/>
      <c r="X22" s="21"/>
      <c r="Y22" s="21"/>
    </row>
    <row r="23" spans="1:25">
      <c r="A23" s="93">
        <v>6</v>
      </c>
      <c r="B23" s="95" t="s">
        <v>72</v>
      </c>
      <c r="C23" s="94"/>
      <c r="D23" s="94"/>
      <c r="E23" s="94"/>
      <c r="F23" s="94"/>
      <c r="G23" s="21"/>
      <c r="H23" s="21"/>
      <c r="I23" s="21"/>
      <c r="J23" s="21"/>
      <c r="K23" s="21"/>
      <c r="L23" s="21"/>
      <c r="M23" s="21"/>
      <c r="N23" s="21"/>
      <c r="O23" s="21"/>
      <c r="P23" s="21"/>
      <c r="Q23" s="21"/>
      <c r="R23" s="21"/>
      <c r="S23" s="21"/>
      <c r="T23" s="21"/>
      <c r="U23" s="21"/>
      <c r="V23" s="21"/>
      <c r="W23" s="21"/>
      <c r="X23" s="21"/>
      <c r="Y23" s="21"/>
    </row>
    <row r="24" ht="31.5" spans="1:25">
      <c r="A24" s="90" t="s">
        <v>73</v>
      </c>
      <c r="B24" s="92" t="s">
        <v>74</v>
      </c>
      <c r="C24" s="92" t="s">
        <v>75</v>
      </c>
      <c r="D24" s="90" t="s">
        <v>62</v>
      </c>
      <c r="E24" s="91">
        <v>46342</v>
      </c>
      <c r="F24" s="91">
        <v>46346</v>
      </c>
      <c r="G24" s="21"/>
      <c r="H24" s="21"/>
      <c r="I24" s="21"/>
      <c r="J24" s="21"/>
      <c r="K24" s="21"/>
      <c r="L24" s="21"/>
      <c r="M24" s="21"/>
      <c r="N24" s="21"/>
      <c r="O24" s="21"/>
      <c r="P24" s="21"/>
      <c r="Q24" s="21"/>
      <c r="R24" s="21"/>
      <c r="S24" s="21"/>
      <c r="T24" s="21"/>
      <c r="U24" s="21"/>
      <c r="V24" s="21"/>
      <c r="W24" s="21"/>
      <c r="X24" s="21"/>
      <c r="Y24" s="21"/>
    </row>
    <row r="25" ht="31.5" spans="1:25">
      <c r="A25" s="90" t="s">
        <v>76</v>
      </c>
      <c r="B25" s="92" t="s">
        <v>77</v>
      </c>
      <c r="C25" s="92" t="s">
        <v>78</v>
      </c>
      <c r="D25" s="90" t="s">
        <v>26</v>
      </c>
      <c r="E25" s="91">
        <v>46349</v>
      </c>
      <c r="F25" s="91">
        <v>46356</v>
      </c>
      <c r="G25" s="21"/>
      <c r="H25" s="21"/>
      <c r="I25" s="21"/>
      <c r="J25" s="21"/>
      <c r="K25" s="21"/>
      <c r="L25" s="21"/>
      <c r="M25" s="21"/>
      <c r="N25" s="21"/>
      <c r="O25" s="21"/>
      <c r="P25" s="21"/>
      <c r="Q25" s="21"/>
      <c r="R25" s="21"/>
      <c r="S25" s="21"/>
      <c r="T25" s="21"/>
      <c r="U25" s="21"/>
      <c r="V25" s="21"/>
      <c r="W25" s="21"/>
      <c r="X25" s="21"/>
      <c r="Y25" s="21"/>
    </row>
    <row r="26" ht="31.5" spans="1:25">
      <c r="A26" s="90" t="s">
        <v>79</v>
      </c>
      <c r="B26" s="92" t="s">
        <v>80</v>
      </c>
      <c r="C26" s="92" t="s">
        <v>81</v>
      </c>
      <c r="D26" s="90" t="s">
        <v>26</v>
      </c>
      <c r="E26" s="91">
        <v>46357</v>
      </c>
      <c r="F26" s="91">
        <v>46360</v>
      </c>
      <c r="G26" s="21"/>
      <c r="H26" s="21"/>
      <c r="I26" s="21"/>
      <c r="J26" s="21"/>
      <c r="K26" s="21"/>
      <c r="L26" s="21"/>
      <c r="M26" s="21"/>
      <c r="N26" s="21"/>
      <c r="O26" s="21"/>
      <c r="P26" s="21"/>
      <c r="Q26" s="21"/>
      <c r="R26" s="21"/>
      <c r="S26" s="21"/>
      <c r="T26" s="21"/>
      <c r="U26" s="21"/>
      <c r="V26" s="21"/>
      <c r="W26" s="21"/>
      <c r="X26" s="21"/>
      <c r="Y26" s="21"/>
    </row>
    <row r="27" ht="31.5" spans="1:25">
      <c r="A27" s="93">
        <v>7</v>
      </c>
      <c r="B27" s="94" t="s">
        <v>82</v>
      </c>
      <c r="C27" s="94"/>
      <c r="D27" s="94"/>
      <c r="E27" s="94"/>
      <c r="F27" s="94"/>
      <c r="G27" s="21"/>
      <c r="H27" s="21"/>
      <c r="I27" s="21"/>
      <c r="J27" s="21"/>
      <c r="K27" s="21"/>
      <c r="L27" s="21"/>
      <c r="M27" s="21"/>
      <c r="N27" s="21"/>
      <c r="O27" s="21"/>
      <c r="P27" s="21"/>
      <c r="Q27" s="21"/>
      <c r="R27" s="21"/>
      <c r="S27" s="21"/>
      <c r="T27" s="21"/>
      <c r="U27" s="21"/>
      <c r="V27" s="21"/>
      <c r="W27" s="21"/>
      <c r="X27" s="21"/>
      <c r="Y27" s="21"/>
    </row>
    <row r="28" ht="31.5" spans="1:25">
      <c r="A28" s="90" t="s">
        <v>83</v>
      </c>
      <c r="B28" s="92" t="s">
        <v>84</v>
      </c>
      <c r="C28" s="92" t="s">
        <v>85</v>
      </c>
      <c r="D28" s="90" t="s">
        <v>62</v>
      </c>
      <c r="E28" s="91">
        <v>46363</v>
      </c>
      <c r="F28" s="91">
        <v>46365</v>
      </c>
      <c r="G28" s="21"/>
      <c r="H28" s="21"/>
      <c r="I28" s="21"/>
      <c r="J28" s="21"/>
      <c r="K28" s="21"/>
      <c r="L28" s="21"/>
      <c r="M28" s="21"/>
      <c r="N28" s="21"/>
      <c r="O28" s="21"/>
      <c r="P28" s="21"/>
      <c r="Q28" s="21"/>
      <c r="R28" s="21"/>
      <c r="S28" s="21"/>
      <c r="T28" s="21"/>
      <c r="U28" s="21"/>
      <c r="V28" s="21"/>
      <c r="W28" s="21"/>
      <c r="X28" s="21"/>
      <c r="Y28" s="21"/>
    </row>
    <row r="29" ht="31.5" spans="1:25">
      <c r="A29" s="90" t="s">
        <v>86</v>
      </c>
      <c r="B29" s="92" t="s">
        <v>87</v>
      </c>
      <c r="C29" s="92" t="s">
        <v>88</v>
      </c>
      <c r="D29" s="90" t="s">
        <v>26</v>
      </c>
      <c r="E29" s="91">
        <v>46366</v>
      </c>
      <c r="F29" s="91">
        <v>46368</v>
      </c>
      <c r="G29" s="21"/>
      <c r="H29" s="21"/>
      <c r="I29" s="21"/>
      <c r="J29" s="21"/>
      <c r="K29" s="21"/>
      <c r="L29" s="21"/>
      <c r="M29" s="21"/>
      <c r="N29" s="21"/>
      <c r="O29" s="21"/>
      <c r="P29" s="21"/>
      <c r="Q29" s="21"/>
      <c r="R29" s="21"/>
      <c r="S29" s="21"/>
      <c r="T29" s="21"/>
      <c r="U29" s="21"/>
      <c r="V29" s="21"/>
      <c r="W29" s="21"/>
      <c r="X29" s="21"/>
      <c r="Y29" s="21"/>
    </row>
    <row r="30" spans="1:25">
      <c r="A30" s="21"/>
      <c r="B30" s="21"/>
      <c r="C30" s="21"/>
      <c r="D30" s="21"/>
      <c r="E30" s="21"/>
      <c r="F30" s="21"/>
      <c r="G30" s="21"/>
      <c r="H30" s="21"/>
      <c r="I30" s="21"/>
      <c r="J30" s="21"/>
      <c r="K30" s="21"/>
      <c r="L30" s="21"/>
      <c r="M30" s="21"/>
      <c r="N30" s="21"/>
      <c r="O30" s="21"/>
      <c r="P30" s="21"/>
      <c r="Q30" s="21"/>
      <c r="R30" s="21"/>
      <c r="S30" s="21"/>
      <c r="T30" s="21"/>
      <c r="U30" s="21"/>
      <c r="V30" s="21"/>
      <c r="W30" s="21"/>
      <c r="X30" s="21"/>
      <c r="Y30" s="21"/>
    </row>
    <row r="31" spans="1:25">
      <c r="A31" s="21"/>
      <c r="B31" s="21"/>
      <c r="C31" s="21"/>
      <c r="D31" s="21"/>
      <c r="E31" s="21"/>
      <c r="F31" s="21"/>
      <c r="G31" s="21"/>
      <c r="H31" s="21"/>
      <c r="I31" s="21"/>
      <c r="J31" s="21"/>
      <c r="K31" s="21"/>
      <c r="L31" s="21"/>
      <c r="M31" s="21"/>
      <c r="N31" s="21"/>
      <c r="O31" s="21"/>
      <c r="P31" s="21"/>
      <c r="Q31" s="21"/>
      <c r="R31" s="21"/>
      <c r="S31" s="21"/>
      <c r="T31" s="21"/>
      <c r="U31" s="21"/>
      <c r="V31" s="21"/>
      <c r="W31" s="21"/>
      <c r="X31" s="21"/>
      <c r="Y31" s="21"/>
    </row>
    <row r="32" spans="1:25">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spans="1:25">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spans="1:25">
      <c r="A34" s="21"/>
      <c r="B34" s="21"/>
      <c r="C34" s="21"/>
      <c r="D34" s="21"/>
      <c r="E34" s="21"/>
      <c r="F34" s="21"/>
      <c r="G34" s="21"/>
      <c r="H34" s="21"/>
      <c r="I34" s="21"/>
      <c r="J34" s="21"/>
      <c r="K34" s="21"/>
      <c r="L34" s="21"/>
      <c r="M34" s="21"/>
      <c r="N34" s="21"/>
      <c r="O34" s="21"/>
      <c r="P34" s="21"/>
      <c r="Q34" s="21"/>
      <c r="R34" s="21"/>
      <c r="S34" s="21"/>
      <c r="T34" s="21"/>
      <c r="U34" s="21"/>
      <c r="V34" s="21"/>
      <c r="W34" s="21"/>
      <c r="X34" s="21"/>
      <c r="Y34" s="21"/>
    </row>
    <row r="35" spans="1:25">
      <c r="A35" s="21"/>
      <c r="B35" s="21"/>
      <c r="C35" s="21"/>
      <c r="D35" s="21"/>
      <c r="E35" s="21"/>
      <c r="F35" s="21"/>
      <c r="G35" s="21"/>
      <c r="H35" s="21"/>
      <c r="I35" s="21"/>
      <c r="J35" s="21"/>
      <c r="K35" s="21"/>
      <c r="L35" s="21"/>
      <c r="M35" s="21"/>
      <c r="N35" s="21"/>
      <c r="O35" s="21"/>
      <c r="P35" s="21"/>
      <c r="Q35" s="21"/>
      <c r="R35" s="21"/>
      <c r="S35" s="21"/>
      <c r="T35" s="21"/>
      <c r="U35" s="21"/>
      <c r="V35" s="21"/>
      <c r="W35" s="21"/>
      <c r="X35" s="21"/>
      <c r="Y35" s="21"/>
    </row>
    <row r="36" spans="1:25">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spans="1:25">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spans="1:25">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spans="1:25">
      <c r="A39" s="21"/>
      <c r="B39" s="21"/>
      <c r="C39" s="21"/>
      <c r="D39" s="21"/>
      <c r="E39" s="21"/>
      <c r="F39" s="21"/>
      <c r="G39" s="21"/>
      <c r="H39" s="21"/>
      <c r="I39" s="21"/>
      <c r="J39" s="21"/>
      <c r="K39" s="21"/>
      <c r="L39" s="21"/>
      <c r="M39" s="21"/>
      <c r="N39" s="21"/>
      <c r="O39" s="21"/>
      <c r="P39" s="21"/>
      <c r="Q39" s="21"/>
      <c r="R39" s="21"/>
      <c r="S39" s="21"/>
      <c r="T39" s="21"/>
      <c r="U39" s="21"/>
      <c r="V39" s="21"/>
      <c r="W39" s="21"/>
      <c r="X39" s="21"/>
      <c r="Y39" s="21"/>
    </row>
    <row r="40" spans="1:25">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spans="1:25">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spans="1:25">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spans="1:25">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spans="1:25">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spans="1:2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spans="1:25">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spans="1:25">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spans="1:25">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spans="1:25">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spans="1:25">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spans="1:25">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spans="1:25">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spans="1:25">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spans="1:25">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25">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spans="1:25">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spans="1:25">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spans="1:25">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spans="1:25">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spans="1:25">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spans="1:25">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spans="1:2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spans="1:25">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spans="1:25">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spans="1:25">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spans="1:25">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spans="1:25">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spans="1:25">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spans="1:25">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spans="1:25">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spans="1:25">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spans="1:2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spans="1:25">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spans="1:25">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spans="1:25">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spans="1:25">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spans="1:25">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spans="1:25">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spans="1:25">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spans="1:25">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spans="1:25">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spans="1:2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spans="1:25">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spans="1:25">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spans="1:25">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spans="1:25">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spans="1:25">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spans="1:25">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spans="1:25">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spans="1:25">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spans="1:25">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spans="1:2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spans="1:25">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spans="1:25">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spans="1:25">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spans="1:25">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spans="1: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spans="1: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spans="1: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spans="1: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spans="1: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spans="1: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spans="1: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spans="1: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spans="1: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spans="1: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spans="1: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spans="1: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spans="1: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spans="1: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spans="1: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spans="1: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spans="1: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spans="1: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spans="1: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spans="1: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spans="1: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spans="1: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spans="1: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spans="1: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spans="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spans="1: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spans="1: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spans="1: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spans="1: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spans="1: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spans="1: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spans="1: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spans="1: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spans="1: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spans="1: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spans="1: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spans="1: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spans="1: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spans="1: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spans="1: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spans="1: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spans="1: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spans="1: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spans="1: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spans="1: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spans="1: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spans="1: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spans="1: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spans="1: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spans="1: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spans="1: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spans="1: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spans="1: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spans="1: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spans="1: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spans="1: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spans="1: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spans="1: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spans="1: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spans="1: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spans="1: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spans="1: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spans="1: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spans="1: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spans="1: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spans="1: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spans="1: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spans="1: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spans="1: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spans="1: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spans="1: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spans="1: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spans="1: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spans="1: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spans="1: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spans="1: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spans="1: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spans="1: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spans="1: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spans="1: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spans="1: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spans="1: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spans="1: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spans="1: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spans="1: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spans="1: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spans="1: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spans="1: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spans="1: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spans="1: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spans="1: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spans="1: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spans="1: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spans="1: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spans="1: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spans="1: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spans="1: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spans="1: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spans="1: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spans="1: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spans="1: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spans="1: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spans="1: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spans="1: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spans="1: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spans="1: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spans="1: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spans="1: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spans="1: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spans="1: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spans="1: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spans="1: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spans="1: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spans="1: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spans="1: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spans="1: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spans="1: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spans="1: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spans="1: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spans="1: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spans="1: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spans="1: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spans="1: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spans="1: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spans="1: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spans="1: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spans="1: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spans="1: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spans="1: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spans="1: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spans="1: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spans="1: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spans="1: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spans="1: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spans="1: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spans="1: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spans="1: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spans="1: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spans="1: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spans="1: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spans="1: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spans="1: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spans="1: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spans="1: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spans="1: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spans="1: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spans="1: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spans="1: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spans="1: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spans="1: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spans="1: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spans="1: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spans="1: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spans="1: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spans="1: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spans="1: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spans="1: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spans="1: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spans="1: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spans="1: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spans="1: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spans="1: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spans="1: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spans="1: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spans="1: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spans="1: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spans="1: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spans="1: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spans="1: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spans="1: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spans="1: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spans="1: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spans="1: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spans="1: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spans="1: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spans="1: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spans="1: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spans="1: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spans="1: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spans="1: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spans="1: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spans="1: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spans="1: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spans="1: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spans="1: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spans="1: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spans="1: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spans="1: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spans="1: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spans="1: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spans="1: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spans="1: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spans="1: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spans="1: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spans="1: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spans="1: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spans="1: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spans="1: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spans="1: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spans="1: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spans="1: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spans="1: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spans="1: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spans="1: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spans="1: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spans="1: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spans="1: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spans="1: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spans="1: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spans="1: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spans="1: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spans="1: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spans="1: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spans="1: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spans="1: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spans="1: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spans="1: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spans="1: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spans="1: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spans="1: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spans="1: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spans="1: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spans="1: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spans="1: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spans="1: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spans="1: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spans="1: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spans="1: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spans="1: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spans="1: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spans="1: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spans="1: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spans="1: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spans="1: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spans="1: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spans="1: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spans="1: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spans="1: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spans="1: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spans="1: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spans="1: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spans="1: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spans="1: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spans="1: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spans="1: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spans="1: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spans="1: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spans="1: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spans="1: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spans="1: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spans="1: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spans="1: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spans="1: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spans="1: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spans="1: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spans="1: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spans="1: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spans="1: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spans="1: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spans="1: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spans="1: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spans="1: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spans="1: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spans="1: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spans="1: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spans="1: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spans="1: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spans="1: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spans="1: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spans="1: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spans="1: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spans="1: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spans="1: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spans="1: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spans="1: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spans="1: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spans="1: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spans="1: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spans="1: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spans="1: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spans="1: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spans="1: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spans="1: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spans="1: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spans="1: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spans="1: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spans="1: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spans="1: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spans="1: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spans="1: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spans="1: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spans="1: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spans="1: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spans="1: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spans="1: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spans="1: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spans="1: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spans="1: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spans="1: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spans="1: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spans="1: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spans="1: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spans="1: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spans="1: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spans="1: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spans="1: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spans="1: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spans="1: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spans="1: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spans="1: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spans="1: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spans="1: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spans="1: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spans="1: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spans="1: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spans="1: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spans="1: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spans="1: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spans="1: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spans="1: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spans="1: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spans="1: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spans="1: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spans="1: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spans="1: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spans="1: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spans="1: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spans="1: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spans="1: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spans="1: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spans="1: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spans="1: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spans="1: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spans="1: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spans="1: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spans="1: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spans="1: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spans="1: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spans="1: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spans="1: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spans="1: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spans="1: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spans="1: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spans="1: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spans="1: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spans="1: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spans="1: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spans="1: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spans="1: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spans="1: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spans="1: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spans="1: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spans="1: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spans="1: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spans="1: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spans="1: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spans="1: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spans="1: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spans="1: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spans="1: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spans="1: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spans="1: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spans="1: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spans="1: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spans="1: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spans="1: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spans="1: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spans="1: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spans="1: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spans="1: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spans="1: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spans="1: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spans="1: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spans="1: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spans="1: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spans="1: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spans="1: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spans="1: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spans="1: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spans="1: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spans="1: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spans="1: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spans="1: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spans="1: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spans="1: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spans="1: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spans="1: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spans="1: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spans="1: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spans="1: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spans="1: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spans="1: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spans="1: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spans="1: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spans="1: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spans="1: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spans="1: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spans="1: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spans="1: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spans="1: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spans="1: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spans="1: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spans="1: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spans="1: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spans="1: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spans="1: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spans="1: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spans="1: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spans="1: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spans="1: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spans="1: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spans="1: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spans="1: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spans="1: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spans="1: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spans="1: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spans="1: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spans="1: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spans="1: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spans="1: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spans="1: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spans="1: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spans="1: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spans="1: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spans="1: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spans="1: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spans="1: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spans="1: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spans="1: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spans="1: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spans="1: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spans="1: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spans="1: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spans="1: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spans="1: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spans="1: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spans="1: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spans="1: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spans="1: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spans="1: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spans="1: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spans="1: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spans="1: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spans="1: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spans="1: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spans="1: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spans="1: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spans="1: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spans="1: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spans="1: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spans="1: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spans="1: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spans="1: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spans="1: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spans="1: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spans="1: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spans="1: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spans="1: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spans="1: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spans="1: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spans="1: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spans="1: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spans="1: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spans="1: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spans="1: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spans="1: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spans="1: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spans="1: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spans="1: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spans="1: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spans="1: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spans="1: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spans="1: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spans="1: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spans="1: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spans="1: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spans="1: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spans="1: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spans="1: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spans="1: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spans="1: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spans="1: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spans="1: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spans="1: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spans="1: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spans="1: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spans="1: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spans="1: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spans="1: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spans="1: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spans="1: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spans="1: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spans="1: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spans="1: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spans="1: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spans="1: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spans="1: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spans="1: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spans="1: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spans="1: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spans="1: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spans="1: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spans="1: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spans="1: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spans="1: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spans="1: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spans="1: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spans="1: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spans="1: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spans="1: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spans="1: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spans="1: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spans="1: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spans="1: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spans="1: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spans="1: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spans="1: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spans="1: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spans="1: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spans="1: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spans="1: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spans="1: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spans="1: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spans="1: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spans="1: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spans="1: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spans="1: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spans="1: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spans="1: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spans="1: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spans="1: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spans="1: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spans="1: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spans="1: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spans="1: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spans="1: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spans="1: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spans="1: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spans="1: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spans="1: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spans="1: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spans="1: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spans="1: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spans="1: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spans="1: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spans="1: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spans="1: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spans="1: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spans="1: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spans="1: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spans="1: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spans="1: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spans="1: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spans="1: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spans="1: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spans="1: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spans="1: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spans="1: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spans="1: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spans="1: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spans="1: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spans="1: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spans="1: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spans="1: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spans="1: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spans="1: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spans="1: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spans="1: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spans="1: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spans="1: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spans="1: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spans="1: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spans="1: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spans="1: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spans="1: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spans="1: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spans="1: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spans="1: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spans="1: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spans="1: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spans="1: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spans="1: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spans="1: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spans="1: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spans="1: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spans="1: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spans="1: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spans="1: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spans="1: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spans="1: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spans="1: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spans="1: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spans="1: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spans="1: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spans="1: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spans="1: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spans="1: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spans="1: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spans="1: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spans="1: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spans="1: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spans="1: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spans="1: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spans="1: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spans="1: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spans="1: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spans="1: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spans="1: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spans="1: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spans="1: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spans="1: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spans="1: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spans="1: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spans="1: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spans="1: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spans="1: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spans="1: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spans="1: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spans="1: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spans="1: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spans="1: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spans="1: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spans="1: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spans="1: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spans="1: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spans="1: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spans="1: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spans="1: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spans="1: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spans="1: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spans="1: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spans="1: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spans="1: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spans="1: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spans="1: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spans="1: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spans="1: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spans="1: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spans="1: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spans="1: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spans="1: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spans="1: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spans="1: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spans="1: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spans="1: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spans="1: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spans="1: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spans="1: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spans="1: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spans="1: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spans="1: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spans="1: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spans="1: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spans="1: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spans="1: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spans="1: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spans="1: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spans="1: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spans="1: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spans="1: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spans="1: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spans="1: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spans="1: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spans="1: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spans="1: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spans="1: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spans="1: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spans="1: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spans="1: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spans="1: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spans="1: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spans="1: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spans="1: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spans="1: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spans="1: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spans="1: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spans="1: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spans="1: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spans="1: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spans="1: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spans="1: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spans="1: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spans="1: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spans="1: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spans="1: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spans="1: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spans="1: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spans="1: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spans="1: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spans="1: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spans="1: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spans="1: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spans="1: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spans="1: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spans="1: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spans="1: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spans="1: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spans="1: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spans="1: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spans="1: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spans="1: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spans="1: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spans="1: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spans="1: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spans="1: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spans="1: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spans="1: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spans="1: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spans="1: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spans="1: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spans="1: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spans="1: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spans="1: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spans="1: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spans="1: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spans="1: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spans="1: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spans="1: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spans="1: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spans="1: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spans="1: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spans="1: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spans="1: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spans="1: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spans="1: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spans="1: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spans="1: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spans="1: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spans="1: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spans="1: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spans="1: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spans="1: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spans="1: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spans="1: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spans="1: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spans="1: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spans="1: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spans="1: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spans="1: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spans="1: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spans="1: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spans="1: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spans="1: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spans="1: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spans="1: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spans="1: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spans="1: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spans="1: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spans="1: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spans="1: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spans="1: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spans="1: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spans="1: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spans="1: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spans="1: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spans="1: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spans="1: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spans="1: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spans="1: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spans="1: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spans="1: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spans="1: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spans="1: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spans="1: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spans="1: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spans="1: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spans="1: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spans="1: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spans="1: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spans="1: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spans="1: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spans="1: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spans="1: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spans="1: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spans="1: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spans="1: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spans="1: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spans="1: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spans="1: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spans="1: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spans="1: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spans="1: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spans="1: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spans="1: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spans="1: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spans="1: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spans="1: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spans="1: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spans="1: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spans="1: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spans="1: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spans="1: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spans="1: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spans="1: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spans="1: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spans="1: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spans="1: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spans="1: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spans="1: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spans="1: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spans="1: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spans="1: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spans="1: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spans="1: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spans="1: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spans="1: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spans="1: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spans="1: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spans="1: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spans="1: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spans="1: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spans="1: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spans="1: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spans="1: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spans="1: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spans="1: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spans="1: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spans="1: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spans="1: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spans="1: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spans="1: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spans="1: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spans="1: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spans="1: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spans="1: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spans="1: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spans="1: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spans="1: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spans="1: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spans="1: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spans="1: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spans="1: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spans="1: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spans="1: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spans="1: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spans="1: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spans="1: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spans="1: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spans="1: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spans="1: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spans="1: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spans="1: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spans="1: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spans="1: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spans="1: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spans="1: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spans="1: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spans="1: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spans="1: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spans="1: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spans="1: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spans="1: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spans="1: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spans="1: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spans="1: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spans="1: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spans="1: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spans="1: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spans="1: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spans="1: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spans="1: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spans="1: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spans="1: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spans="1: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spans="1: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spans="1: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spans="1: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spans="1: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spans="1: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spans="1: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spans="1: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spans="1: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spans="1: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spans="1: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spans="1: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spans="1: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spans="1: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spans="1: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spans="1: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spans="1: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spans="1: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spans="1: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spans="1: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spans="1: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spans="1: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spans="1: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spans="1: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spans="1: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spans="1: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spans="1: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spans="1: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spans="1: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spans="1: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spans="1: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spans="1: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spans="1: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spans="1: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spans="1: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spans="1: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spans="1: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workbookViewId="0">
      <selection activeCell="D16" sqref="D16"/>
    </sheetView>
  </sheetViews>
  <sheetFormatPr defaultColWidth="11" defaultRowHeight="15.75" outlineLevelCol="5"/>
  <cols>
    <col min="1" max="1" width="25.7142857142857" style="67" customWidth="1"/>
    <col min="2" max="2" width="49.5714285714286" style="67" customWidth="1"/>
    <col min="3" max="3" width="17.7142857142857" style="67" customWidth="1"/>
    <col min="4" max="4" width="44.2857142857143" style="67" customWidth="1"/>
    <col min="5" max="5" width="11.4285714285714" style="67"/>
    <col min="6" max="6" width="17.7142857142857" style="67" customWidth="1"/>
    <col min="7" max="16384" width="11.4285714285714" style="67"/>
  </cols>
  <sheetData>
    <row r="1" spans="1:6">
      <c r="D1" s="68" t="s">
        <v>89</v>
      </c>
    </row>
    <row r="2" spans="1:6">
      <c r="A2" s="69" t="s">
        <v>0</v>
      </c>
      <c r="B2" s="70" t="s">
        <v>90</v>
      </c>
      <c r="C2" s="71" t="s">
        <v>91</v>
      </c>
      <c r="D2" s="72" t="s">
        <v>92</v>
      </c>
    </row>
    <row r="3" spans="1:6">
      <c r="A3" s="73" t="s">
        <v>93</v>
      </c>
      <c r="B3" s="73" t="s">
        <v>94</v>
      </c>
      <c r="C3" s="74">
        <f>SUM(C16:C18)</f>
        <v>550000</v>
      </c>
      <c r="D3" s="75">
        <f>C3*18</f>
        <v>9900000</v>
      </c>
    </row>
    <row r="4" spans="1:6">
      <c r="A4" s="73" t="s">
        <v>95</v>
      </c>
      <c r="B4" s="76" t="s">
        <v>96</v>
      </c>
      <c r="C4" s="77">
        <v>50000</v>
      </c>
      <c r="D4" s="75">
        <f>C4*18</f>
        <v>900000</v>
      </c>
    </row>
    <row r="5" spans="1:6">
      <c r="B5" s="78" t="s">
        <v>97</v>
      </c>
      <c r="C5" s="79">
        <f>SUM(C3:C4)</f>
        <v>600000</v>
      </c>
    </row>
    <row r="11" spans="1:6">
      <c r="B11" s="68" t="s">
        <v>98</v>
      </c>
      <c r="D11" s="80" t="s">
        <v>99</v>
      </c>
      <c r="F11" s="67" t="s">
        <v>100</v>
      </c>
    </row>
    <row r="12" spans="1:6">
      <c r="B12" s="75">
        <f>SUM(D3:D4)</f>
        <v>10800000</v>
      </c>
      <c r="D12" s="79">
        <f>F12/10000000</f>
        <v>1.65935</v>
      </c>
      <c r="F12" s="81">
        <f>26593500-10000000</f>
        <v>16593500</v>
      </c>
    </row>
    <row r="15" spans="1:6">
      <c r="B15" s="82" t="s">
        <v>101</v>
      </c>
      <c r="C15" s="82" t="s">
        <v>102</v>
      </c>
      <c r="D15" s="80" t="s">
        <v>103</v>
      </c>
    </row>
    <row r="16" spans="1:6">
      <c r="B16" s="72" t="s">
        <v>104</v>
      </c>
      <c r="C16" s="72">
        <v>150000</v>
      </c>
      <c r="D16" s="83">
        <f>F12/D12</f>
        <v>10000000</v>
      </c>
    </row>
    <row r="17" spans="2:3">
      <c r="B17" s="72" t="s">
        <v>105</v>
      </c>
      <c r="C17" s="72">
        <v>250000</v>
      </c>
    </row>
    <row r="18" spans="2:3">
      <c r="B18" s="72" t="s">
        <v>106</v>
      </c>
      <c r="C18" s="72">
        <v>150000</v>
      </c>
    </row>
    <row r="20" spans="2:3">
      <c r="B20" s="82" t="s">
        <v>107</v>
      </c>
      <c r="C20" s="82" t="s">
        <v>108</v>
      </c>
    </row>
    <row r="21" spans="2:3">
      <c r="B21" s="72" t="s">
        <v>109</v>
      </c>
      <c r="C21" s="72">
        <v>5000</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999"/>
  <sheetViews>
    <sheetView topLeftCell="B1" workbookViewId="0">
      <selection activeCell="F18" sqref="F18"/>
    </sheetView>
  </sheetViews>
  <sheetFormatPr defaultColWidth="12.5714285714286" defaultRowHeight="15.75" customHeight="1"/>
  <cols>
    <col min="1" max="1" width="20.1428571428571" customWidth="1"/>
    <col min="2" max="2" width="25.1428571428571" customWidth="1"/>
    <col min="4" max="4" width="27.4285714285714" customWidth="1"/>
    <col min="5" max="5" width="14.7142857142857" customWidth="1"/>
    <col min="6" max="6" width="40.8571428571429" customWidth="1"/>
    <col min="7" max="7" width="18.1428571428571" customWidth="1"/>
  </cols>
  <sheetData>
    <row r="1" customHeight="1" spans="1:28">
      <c r="A1" s="56" t="s">
        <v>110</v>
      </c>
      <c r="B1" s="57" t="s">
        <v>111</v>
      </c>
      <c r="C1" s="58" t="s">
        <v>112</v>
      </c>
      <c r="D1" s="59" t="s">
        <v>113</v>
      </c>
      <c r="E1" s="59" t="s">
        <v>114</v>
      </c>
      <c r="F1" s="60" t="s">
        <v>115</v>
      </c>
      <c r="G1" s="61" t="s">
        <v>116</v>
      </c>
      <c r="H1" s="41"/>
      <c r="I1" s="41"/>
      <c r="J1" s="41"/>
      <c r="K1" s="41"/>
      <c r="L1" s="41"/>
      <c r="M1" s="41"/>
      <c r="N1" s="41"/>
      <c r="O1" s="41"/>
      <c r="P1" s="41"/>
      <c r="Q1" s="41"/>
      <c r="R1" s="41"/>
      <c r="S1" s="41"/>
      <c r="T1" s="41"/>
      <c r="U1" s="41"/>
      <c r="V1" s="41"/>
      <c r="W1" s="41"/>
      <c r="X1" s="41"/>
      <c r="Y1" s="41"/>
      <c r="Z1" s="41"/>
      <c r="AA1" s="41"/>
      <c r="AB1" s="41"/>
    </row>
    <row r="2" customHeight="1" spans="1:28">
      <c r="A2" s="62" t="s">
        <v>117</v>
      </c>
      <c r="B2" s="62" t="s">
        <v>118</v>
      </c>
      <c r="C2" s="62">
        <v>18</v>
      </c>
      <c r="D2" s="63">
        <f>F2/F13</f>
        <v>1282.05128205128</v>
      </c>
      <c r="E2" s="63">
        <f>F2/D16</f>
        <v>125000</v>
      </c>
      <c r="F2" s="64">
        <v>2500000</v>
      </c>
      <c r="G2" s="64">
        <f>E2*D16</f>
        <v>2500000</v>
      </c>
      <c r="H2" s="41"/>
      <c r="I2" s="41"/>
      <c r="J2" s="41"/>
      <c r="K2" s="41"/>
      <c r="L2" s="41"/>
      <c r="M2" s="41"/>
      <c r="N2" s="41"/>
      <c r="O2" s="41"/>
      <c r="P2" s="41"/>
      <c r="Q2" s="41"/>
      <c r="R2" s="41"/>
      <c r="S2" s="41"/>
      <c r="T2" s="41"/>
      <c r="U2" s="41"/>
      <c r="V2" s="41"/>
      <c r="W2" s="41"/>
      <c r="X2" s="41"/>
      <c r="Y2" s="41"/>
      <c r="Z2" s="41"/>
      <c r="AA2" s="41"/>
      <c r="AB2" s="41"/>
    </row>
    <row r="3" customHeight="1" spans="1:28">
      <c r="A3" s="62" t="s">
        <v>119</v>
      </c>
      <c r="B3" s="62" t="s">
        <v>120</v>
      </c>
      <c r="C3" s="62">
        <v>18</v>
      </c>
      <c r="D3" s="63">
        <f>F3/F13</f>
        <v>1282.05128205128</v>
      </c>
      <c r="E3" s="63">
        <f>F3/D16</f>
        <v>125000</v>
      </c>
      <c r="F3" s="64">
        <v>2500000</v>
      </c>
      <c r="G3" s="64">
        <f>E3*D16</f>
        <v>2500000</v>
      </c>
      <c r="H3" s="41"/>
      <c r="I3" s="41"/>
      <c r="J3" s="41"/>
      <c r="K3" s="41"/>
      <c r="L3" s="41"/>
      <c r="M3" s="41"/>
      <c r="N3" s="41"/>
      <c r="O3" s="41"/>
      <c r="P3" s="41"/>
      <c r="Q3" s="41"/>
      <c r="R3" s="41"/>
      <c r="S3" s="41"/>
      <c r="T3" s="41"/>
      <c r="U3" s="41"/>
      <c r="V3" s="41"/>
      <c r="W3" s="41"/>
      <c r="X3" s="41"/>
      <c r="Y3" s="41"/>
      <c r="Z3" s="41"/>
      <c r="AA3" s="41"/>
      <c r="AB3" s="41"/>
    </row>
    <row r="4" customHeight="1" spans="1:28">
      <c r="A4" s="62" t="s">
        <v>121</v>
      </c>
      <c r="B4" s="62" t="s">
        <v>122</v>
      </c>
      <c r="C4" s="62">
        <v>18</v>
      </c>
      <c r="D4" s="63">
        <f>F4/F13</f>
        <v>1282.05128205128</v>
      </c>
      <c r="E4" s="63">
        <f>F4/D16</f>
        <v>125000</v>
      </c>
      <c r="F4" s="64">
        <v>2500000</v>
      </c>
      <c r="G4" s="64">
        <f>E4*D16</f>
        <v>2500000</v>
      </c>
      <c r="H4" s="41"/>
      <c r="I4" s="41"/>
      <c r="J4" s="41"/>
      <c r="K4" s="41"/>
      <c r="L4" s="41"/>
      <c r="M4" s="41"/>
      <c r="N4" s="41"/>
      <c r="O4" s="41"/>
      <c r="P4" s="41"/>
      <c r="Q4" s="41"/>
      <c r="R4" s="41"/>
      <c r="S4" s="41"/>
      <c r="T4" s="41"/>
      <c r="U4" s="41"/>
      <c r="V4" s="41"/>
      <c r="W4" s="41"/>
      <c r="X4" s="41"/>
      <c r="Y4" s="41"/>
      <c r="Z4" s="41"/>
      <c r="AA4" s="41"/>
      <c r="AB4" s="41"/>
    </row>
    <row r="5" customHeight="1" spans="1:28">
      <c r="A5" s="62" t="s">
        <v>123</v>
      </c>
      <c r="B5" s="41" t="s">
        <v>124</v>
      </c>
      <c r="C5" s="41" t="s">
        <v>124</v>
      </c>
      <c r="D5" s="41"/>
      <c r="E5" s="41"/>
      <c r="F5" s="41" t="s">
        <v>124</v>
      </c>
      <c r="G5" s="63">
        <f>SUM(G2,G3,G4)</f>
        <v>7500000</v>
      </c>
      <c r="H5" s="41"/>
      <c r="I5" s="41"/>
      <c r="J5" s="41"/>
      <c r="K5" s="41"/>
      <c r="L5" s="41"/>
      <c r="M5" s="41"/>
      <c r="N5" s="41"/>
      <c r="O5" s="41"/>
      <c r="P5" s="41"/>
      <c r="Q5" s="41"/>
      <c r="R5" s="41"/>
      <c r="S5" s="41"/>
      <c r="T5" s="41"/>
      <c r="U5" s="41"/>
      <c r="V5" s="41"/>
      <c r="W5" s="41"/>
      <c r="X5" s="41"/>
      <c r="Y5" s="41"/>
      <c r="Z5" s="41"/>
      <c r="AA5" s="41"/>
      <c r="AB5" s="41"/>
    </row>
    <row r="6" customHeight="1" spans="1:28">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row>
    <row r="7" customHeight="1" spans="1:28">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row>
    <row r="8" customHeight="1" spans="1:28">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row>
    <row r="9" customHeight="1" spans="1:28">
      <c r="A9" s="41"/>
      <c r="B9" s="47" t="s">
        <v>125</v>
      </c>
      <c r="C9" s="41"/>
      <c r="D9" s="47" t="s">
        <v>126</v>
      </c>
      <c r="E9" s="41"/>
      <c r="F9" s="65"/>
      <c r="G9" s="41"/>
      <c r="H9" s="41"/>
      <c r="I9" s="41"/>
      <c r="J9" s="41"/>
      <c r="K9" s="41"/>
      <c r="L9" s="41"/>
      <c r="M9" s="41"/>
      <c r="N9" s="41"/>
      <c r="O9" s="41"/>
      <c r="P9" s="41"/>
      <c r="Q9" s="41"/>
      <c r="R9" s="41"/>
      <c r="S9" s="41"/>
      <c r="T9" s="41"/>
      <c r="U9" s="41"/>
      <c r="V9" s="41"/>
      <c r="W9" s="41"/>
      <c r="X9" s="41"/>
      <c r="Y9" s="41"/>
      <c r="Z9" s="41"/>
      <c r="AA9" s="41"/>
      <c r="AB9" s="41"/>
    </row>
    <row r="10" customHeight="1" spans="1:28">
      <c r="A10" s="41"/>
      <c r="B10" s="66">
        <v>547</v>
      </c>
      <c r="C10" s="41"/>
      <c r="D10" s="49">
        <v>5</v>
      </c>
      <c r="E10" s="41"/>
      <c r="F10" s="54"/>
      <c r="G10" s="41"/>
      <c r="H10" s="41"/>
      <c r="I10" s="41"/>
      <c r="J10" s="41"/>
      <c r="K10" s="41"/>
      <c r="L10" s="41"/>
      <c r="M10" s="41"/>
      <c r="N10" s="41"/>
      <c r="O10" s="41"/>
      <c r="P10" s="41"/>
      <c r="Q10" s="41"/>
      <c r="R10" s="41"/>
      <c r="S10" s="41"/>
      <c r="T10" s="41"/>
      <c r="U10" s="41"/>
      <c r="V10" s="41"/>
      <c r="W10" s="41"/>
      <c r="X10" s="41"/>
      <c r="Y10" s="41"/>
      <c r="Z10" s="41"/>
      <c r="AA10" s="41"/>
      <c r="AB10" s="41"/>
    </row>
    <row r="11" customHeight="1" spans="1:28">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row>
    <row r="12" customHeight="1" spans="1:28">
      <c r="A12" s="41"/>
      <c r="B12" s="41"/>
      <c r="C12" s="41"/>
      <c r="D12" s="47" t="s">
        <v>127</v>
      </c>
      <c r="E12" s="41"/>
      <c r="F12" s="47" t="s">
        <v>128</v>
      </c>
      <c r="G12" s="41"/>
      <c r="H12" s="41"/>
      <c r="I12" s="41"/>
      <c r="J12" s="41"/>
      <c r="K12" s="41"/>
      <c r="L12" s="41"/>
      <c r="M12" s="41"/>
      <c r="N12" s="41"/>
      <c r="O12" s="41"/>
      <c r="P12" s="41"/>
      <c r="Q12" s="41"/>
      <c r="R12" s="41"/>
      <c r="S12" s="41"/>
      <c r="T12" s="41"/>
      <c r="U12" s="41"/>
      <c r="V12" s="41"/>
      <c r="W12" s="41"/>
      <c r="X12" s="41"/>
      <c r="Y12" s="41"/>
      <c r="Z12" s="41"/>
      <c r="AA12" s="41"/>
      <c r="AB12" s="41"/>
    </row>
    <row r="13" customHeight="1" spans="1:28">
      <c r="A13" s="41"/>
      <c r="B13" s="41"/>
      <c r="C13" s="41"/>
      <c r="D13" s="49">
        <v>5</v>
      </c>
      <c r="E13" s="41"/>
      <c r="F13" s="49">
        <f>D19*F16</f>
        <v>1950</v>
      </c>
      <c r="G13" s="41"/>
      <c r="H13" s="41"/>
      <c r="I13" s="41"/>
      <c r="J13" s="41"/>
      <c r="K13" s="41"/>
      <c r="L13" s="41"/>
      <c r="M13" s="41"/>
      <c r="N13" s="41"/>
      <c r="O13" s="41"/>
      <c r="P13" s="41"/>
      <c r="Q13" s="41"/>
      <c r="R13" s="41"/>
      <c r="S13" s="41"/>
      <c r="T13" s="41"/>
      <c r="U13" s="41"/>
      <c r="V13" s="41"/>
      <c r="W13" s="41"/>
      <c r="X13" s="41"/>
      <c r="Y13" s="41"/>
      <c r="Z13" s="41"/>
      <c r="AA13" s="41"/>
      <c r="AB13" s="41"/>
    </row>
    <row r="14" customHeight="1" spans="1:28">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row>
    <row r="15" customHeight="1" spans="1:28">
      <c r="A15" s="41"/>
      <c r="B15" s="41"/>
      <c r="C15" s="41"/>
      <c r="D15" s="47" t="s">
        <v>129</v>
      </c>
      <c r="E15" s="41"/>
      <c r="F15" s="47" t="s">
        <v>130</v>
      </c>
      <c r="G15" s="41"/>
      <c r="H15" s="41"/>
      <c r="I15" s="41"/>
      <c r="J15" s="41"/>
      <c r="K15" s="41"/>
      <c r="L15" s="41"/>
      <c r="M15" s="41"/>
      <c r="N15" s="41"/>
      <c r="O15" s="41"/>
      <c r="P15" s="41"/>
      <c r="Q15" s="41"/>
      <c r="R15" s="41"/>
      <c r="S15" s="41"/>
      <c r="T15" s="41"/>
      <c r="U15" s="41"/>
      <c r="V15" s="41"/>
      <c r="W15" s="41"/>
      <c r="X15" s="41"/>
      <c r="Y15" s="41"/>
      <c r="Z15" s="41"/>
      <c r="AA15" s="41"/>
      <c r="AB15" s="41"/>
    </row>
    <row r="16" customHeight="1" spans="1:28">
      <c r="A16" s="41"/>
      <c r="B16" s="41"/>
      <c r="C16" s="41"/>
      <c r="D16" s="49">
        <v>20</v>
      </c>
      <c r="E16" s="41"/>
      <c r="F16" s="49">
        <v>78</v>
      </c>
      <c r="G16" s="41"/>
      <c r="H16" s="41"/>
      <c r="I16" s="41"/>
      <c r="J16" s="41"/>
      <c r="K16" s="41"/>
      <c r="L16" s="41"/>
      <c r="M16" s="41"/>
      <c r="N16" s="41"/>
      <c r="O16" s="41"/>
      <c r="P16" s="41"/>
      <c r="Q16" s="41"/>
      <c r="R16" s="41"/>
      <c r="S16" s="41"/>
      <c r="T16" s="41"/>
      <c r="U16" s="41"/>
      <c r="V16" s="41"/>
      <c r="W16" s="41"/>
      <c r="X16" s="41"/>
      <c r="Y16" s="41"/>
      <c r="Z16" s="41"/>
      <c r="AA16" s="41"/>
      <c r="AB16" s="41"/>
    </row>
    <row r="17" customHeight="1" spans="1:28">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row>
    <row r="18" customHeight="1" spans="1:28">
      <c r="A18" s="41"/>
      <c r="B18" s="41"/>
      <c r="C18" s="41"/>
      <c r="D18" s="47" t="s">
        <v>131</v>
      </c>
      <c r="E18" s="41"/>
      <c r="F18" s="47" t="s">
        <v>132</v>
      </c>
      <c r="G18" s="41"/>
      <c r="H18" s="41"/>
      <c r="I18" s="41"/>
      <c r="J18" s="41"/>
      <c r="K18" s="41"/>
      <c r="L18" s="41"/>
      <c r="M18" s="41"/>
      <c r="N18" s="41"/>
      <c r="O18" s="41"/>
      <c r="P18" s="41"/>
      <c r="Q18" s="41"/>
      <c r="R18" s="41"/>
      <c r="S18" s="41"/>
      <c r="T18" s="41"/>
      <c r="U18" s="41"/>
      <c r="V18" s="41"/>
      <c r="W18" s="41"/>
      <c r="X18" s="41"/>
      <c r="Y18" s="41"/>
      <c r="Z18" s="41"/>
      <c r="AA18" s="41"/>
      <c r="AB18" s="41"/>
    </row>
    <row r="19" customHeight="1" spans="1:28">
      <c r="A19" s="41"/>
      <c r="B19" s="41"/>
      <c r="C19" s="41"/>
      <c r="D19" s="49">
        <f>D10*D13</f>
        <v>25</v>
      </c>
      <c r="E19" s="41"/>
      <c r="F19" s="49">
        <f>D16*C2</f>
        <v>360</v>
      </c>
      <c r="G19" s="41"/>
      <c r="H19" s="41"/>
      <c r="I19" s="41"/>
      <c r="J19" s="41"/>
      <c r="K19" s="41"/>
      <c r="L19" s="41"/>
      <c r="M19" s="41"/>
      <c r="N19" s="41"/>
      <c r="O19" s="41"/>
      <c r="P19" s="41"/>
      <c r="Q19" s="41"/>
      <c r="R19" s="41"/>
      <c r="S19" s="41"/>
      <c r="T19" s="41"/>
      <c r="U19" s="41"/>
      <c r="V19" s="41"/>
      <c r="W19" s="41"/>
      <c r="X19" s="41"/>
      <c r="Y19" s="41"/>
      <c r="Z19" s="41"/>
      <c r="AA19" s="41"/>
      <c r="AB19" s="41"/>
    </row>
    <row r="20" customHeight="1" spans="1:28">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row>
    <row r="21" customHeight="1" spans="1:28">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row>
    <row r="22" customHeight="1" spans="1:28">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row>
    <row r="23" spans="1:28">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row>
    <row r="24" spans="1:28">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row>
    <row r="25" spans="1:28">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row>
    <row r="26" spans="1:28">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row>
    <row r="27" spans="1:28">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row>
    <row r="28" spans="1: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row>
    <row r="29" spans="1:28">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row>
    <row r="30" spans="1:28">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row>
    <row r="31" spans="1:28">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row>
    <row r="32" spans="1:28">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row>
    <row r="33" spans="1:28">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row>
    <row r="34" spans="1:28">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row>
    <row r="35" spans="1:28">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row>
    <row r="36" spans="1:28">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row>
    <row r="37" spans="1:28">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row>
    <row r="38" spans="1:2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row>
    <row r="39" spans="1:28">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row>
    <row r="40" spans="1:28">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row>
    <row r="41" spans="1:28">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row>
    <row r="42" spans="1:28">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row>
    <row r="43" spans="1:28">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row>
    <row r="44" spans="1:28">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row>
    <row r="45" spans="1:28">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row>
    <row r="46" spans="1:28">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row>
    <row r="47" spans="1:28">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row>
    <row r="48" spans="1:2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row>
    <row r="49" spans="1:28">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row>
    <row r="50" spans="1:28">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row>
    <row r="51" spans="1:28">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row>
    <row r="52" spans="1:28">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row>
    <row r="53" spans="1:28">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row>
    <row r="54" spans="1:28">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row>
    <row r="55" spans="1:28">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row>
    <row r="56" spans="1:28">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row>
    <row r="57" spans="1:28">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row>
    <row r="58" spans="1:2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row>
    <row r="59" spans="1:28">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row>
    <row r="60" spans="1:28">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row>
    <row r="61" spans="1:28">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row>
    <row r="62" spans="1:28">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row>
    <row r="63" spans="1:28">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row>
    <row r="64" spans="1:28">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row>
    <row r="65" spans="1:28">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row>
    <row r="66" spans="1:28">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row>
    <row r="67" spans="1:28">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row>
    <row r="68" spans="1:2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row>
    <row r="69" spans="1:28">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row>
    <row r="70" spans="1:28">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row>
    <row r="71" spans="1:28">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row>
    <row r="72" spans="1:28">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row>
    <row r="73" spans="1:28">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row>
    <row r="74" spans="1:28">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row>
    <row r="75" spans="1:28">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row>
    <row r="76" spans="1:28">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row>
    <row r="77" spans="1:28">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row>
    <row r="78" spans="1:2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row>
    <row r="79" spans="1:28">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row>
    <row r="80" spans="1:28">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row>
    <row r="81" spans="1:28">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row>
    <row r="82" spans="1:28">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row>
    <row r="83" spans="1:28">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row>
    <row r="84" spans="1:28">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row>
    <row r="85" spans="1:28">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row>
    <row r="86" spans="1:28">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row>
    <row r="87" spans="1:28">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row>
    <row r="88" spans="1:2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row>
    <row r="89" spans="1:28">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row>
    <row r="90" spans="1:28">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row>
    <row r="91" spans="1:28">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row>
    <row r="92" spans="1:28">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row>
    <row r="93" spans="1:28">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row>
    <row r="94" spans="1:28">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row>
    <row r="95" spans="1:28">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row>
    <row r="96" spans="1:28">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row>
    <row r="97" spans="1:28">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row>
    <row r="98" spans="1:2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row>
    <row r="99" spans="1:28">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row>
    <row r="100" spans="1:28">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row>
    <row r="101" spans="1:28">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row>
    <row r="102" spans="1:28">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row>
    <row r="103" spans="1:28">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row>
    <row r="104" spans="1:28">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row>
    <row r="105" spans="1:28">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row>
    <row r="106" spans="1:28">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row>
    <row r="107" spans="1:28">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row>
    <row r="108" spans="1:2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row>
    <row r="109" spans="1:28">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row>
    <row r="110" spans="1:28">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row>
    <row r="111" spans="1:28">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row>
    <row r="112" spans="1:28">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row>
    <row r="113" spans="1:28">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row>
    <row r="114" spans="1:28">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row>
    <row r="115" spans="1:28">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row>
    <row r="116" spans="1:28">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row>
    <row r="117" spans="1:28">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row>
    <row r="118" spans="1:2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row>
    <row r="119" spans="1:28">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row>
    <row r="120" spans="1:28">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row>
    <row r="121" spans="1:28">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row>
    <row r="122" spans="1:28">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row>
    <row r="123" spans="1:28">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row>
    <row r="124" spans="1:28">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row>
    <row r="125" spans="1:28">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row>
    <row r="126" spans="1:28">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row>
    <row r="127" spans="1:28">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row>
    <row r="128" spans="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row>
    <row r="129" spans="1:28">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row>
    <row r="130" spans="1:28">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row>
    <row r="131" spans="1:28">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row>
    <row r="132" spans="1:28">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row>
    <row r="133" spans="1:28">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row>
    <row r="134" spans="1:28">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row>
    <row r="135" spans="1:28">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row>
    <row r="136" spans="1:28">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row>
    <row r="137" spans="1:28">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row>
    <row r="138" spans="1:2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row>
    <row r="139" spans="1:28">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row>
    <row r="140" spans="1:28">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row>
    <row r="141" spans="1:28">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row>
    <row r="142" spans="1:28">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row>
    <row r="143" spans="1:28">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row>
    <row r="144" spans="1:28">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row>
    <row r="145" spans="1:28">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row>
    <row r="146" spans="1:28">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row>
    <row r="147" spans="1:28">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row>
    <row r="148" spans="1:2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row>
    <row r="149" spans="1:28">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row>
    <row r="150" spans="1:28">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row>
    <row r="151" spans="1:28">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row>
    <row r="152" spans="1:28">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row>
    <row r="153" spans="1:28">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row>
    <row r="154" spans="1:28">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row>
    <row r="155" spans="1:28">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row>
    <row r="156" spans="1:28">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row>
    <row r="157" spans="1:28">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row>
    <row r="158" spans="1:2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row>
    <row r="159" spans="1:28">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row>
    <row r="160" spans="1:28">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row>
    <row r="161" spans="1:28">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row>
    <row r="162" spans="1:28">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row>
    <row r="163" spans="1:28">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row>
    <row r="164" spans="1:28">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row>
    <row r="165" spans="1:28">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row>
    <row r="166" spans="1:28">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row>
    <row r="167" spans="1:28">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row>
    <row r="168" spans="1:2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row>
    <row r="169" spans="1:28">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row>
    <row r="170" spans="1:28">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row>
    <row r="171" spans="1:28">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row>
    <row r="172" spans="1:28">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row>
    <row r="173" spans="1:28">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row>
    <row r="174" spans="1:28">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row>
    <row r="175" spans="1:28">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row>
    <row r="176" spans="1:28">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row>
    <row r="177" spans="1:28">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row>
    <row r="178" spans="1:2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row>
    <row r="179" spans="1:28">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row>
    <row r="180" spans="1:28">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row>
    <row r="181" spans="1:28">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row>
    <row r="182" spans="1:28">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row>
    <row r="183" spans="1:28">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row>
    <row r="184" spans="1:28">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row>
    <row r="185" spans="1:28">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row>
    <row r="186" spans="1:28">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row>
    <row r="187" spans="1:28">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row>
    <row r="188" spans="1:2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row>
    <row r="189" spans="1:28">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row>
    <row r="190" spans="1:28">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row>
    <row r="191" spans="1:28">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row>
    <row r="192" spans="1:28">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row>
    <row r="193" spans="1:28">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row>
    <row r="194" spans="1:28">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row>
    <row r="195" spans="1:28">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row>
    <row r="196" spans="1:28">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row>
    <row r="197" spans="1:28">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row>
    <row r="198" spans="1:2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row>
    <row r="199" spans="1:28">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row>
    <row r="200" spans="1:28">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row>
    <row r="201" spans="1:28">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row>
    <row r="202" spans="1:28">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row>
    <row r="203" spans="1:28">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row>
    <row r="204" spans="1:28">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row>
    <row r="205" spans="1:28">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row>
    <row r="206" spans="1:28">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row>
    <row r="207" spans="1:28">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row>
    <row r="208" spans="1:2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row>
    <row r="209" spans="1:28">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row>
    <row r="210" spans="1:28">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row>
    <row r="211" spans="1:28">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row>
    <row r="212" spans="1:28">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row>
    <row r="213" spans="1:28">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row>
    <row r="214" spans="1:28">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row>
    <row r="215" spans="1:28">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row>
    <row r="216" spans="1:28">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row>
    <row r="217" spans="1:28">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row>
    <row r="218" spans="1:2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row>
    <row r="219" spans="1:28">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row>
    <row r="220" spans="1:28">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row>
    <row r="221" spans="1:28">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row>
    <row r="222" spans="1:28">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row>
    <row r="223" spans="1:28">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row>
    <row r="224" spans="1:28">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row>
    <row r="225" spans="1:28">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row>
    <row r="226" spans="1:28">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row>
    <row r="227" spans="1:28">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row>
    <row r="228" spans="1: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row>
    <row r="229" spans="1:28">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row>
    <row r="230" spans="1:28">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row>
    <row r="231" spans="1:28">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row>
    <row r="232" spans="1:28">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row>
    <row r="233" spans="1:28">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row>
    <row r="234" spans="1:28">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row>
    <row r="235" spans="1:28">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row>
    <row r="236" spans="1:28">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row>
    <row r="237" spans="1:28">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row>
    <row r="238" spans="1:2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row>
    <row r="239" spans="1:28">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row>
    <row r="240" spans="1:28">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row>
    <row r="241" spans="1:28">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row>
    <row r="242" spans="1:28">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row>
    <row r="243" spans="1:28">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row>
    <row r="244" spans="1:28">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row>
    <row r="245" spans="1:28">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row>
    <row r="246" spans="1:28">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row>
    <row r="247" spans="1:28">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row>
    <row r="248" spans="1:2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row>
    <row r="249" spans="1:28">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row>
    <row r="250" spans="1:28">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row>
    <row r="251" spans="1:28">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row>
    <row r="252" spans="1:28">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row>
    <row r="253" spans="1:28">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row>
    <row r="254" spans="1:28">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row>
    <row r="255" spans="1:28">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row>
    <row r="256" spans="1:28">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row>
    <row r="257" spans="1:28">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row>
    <row r="258" spans="1:2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row>
    <row r="259" spans="1:28">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row>
    <row r="260" spans="1:28">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row>
    <row r="261" spans="1:28">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row>
    <row r="262" spans="1:28">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row>
    <row r="263" spans="1:28">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row>
    <row r="264" spans="1:28">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row>
    <row r="265" spans="1:28">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row>
    <row r="266" spans="1:28">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row>
    <row r="267" spans="1:28">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row>
    <row r="268" spans="1:2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row>
    <row r="269" spans="1:28">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row>
    <row r="270" spans="1:28">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row>
    <row r="271" spans="1:28">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row>
    <row r="272" spans="1:28">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row>
    <row r="273" spans="1:28">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row>
    <row r="274" spans="1:28">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row>
    <row r="275" spans="1:28">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row>
    <row r="276" spans="1:28">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row>
    <row r="277" spans="1:28">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row>
    <row r="278" spans="1:2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row>
    <row r="279" spans="1:28">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row>
    <row r="280" spans="1:28">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row>
    <row r="281" spans="1:28">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row>
    <row r="282" spans="1:28">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row>
    <row r="283" spans="1:28">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row>
    <row r="284" spans="1:28">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row>
    <row r="285" spans="1:28">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row>
    <row r="286" spans="1:28">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row>
    <row r="287" spans="1:28">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row>
    <row r="288" spans="1:2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row>
    <row r="289" spans="1:28">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row>
    <row r="290" spans="1:28">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row>
    <row r="291" spans="1:28">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row>
    <row r="292" spans="1:28">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row>
    <row r="293" spans="1:28">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row>
    <row r="294" spans="1:28">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row>
    <row r="295" spans="1:28">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row>
    <row r="296" spans="1:28">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row>
    <row r="297" spans="1:28">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row>
    <row r="298" spans="1:2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row>
    <row r="299" spans="1:28">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row>
    <row r="300" spans="1:28">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row>
    <row r="301" spans="1:28">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row>
    <row r="302" spans="1:28">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row>
    <row r="303" spans="1:28">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row>
    <row r="304" spans="1:28">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row>
    <row r="305" spans="1:28">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row>
    <row r="306" spans="1:28">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row>
    <row r="307" spans="1:28">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row>
    <row r="308" spans="1:2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row>
    <row r="309" spans="1:28">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row>
    <row r="310" spans="1:28">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row>
    <row r="311" spans="1:28">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row>
    <row r="312" spans="1:28">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row>
    <row r="313" spans="1:28">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row>
    <row r="314" spans="1:28">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row>
    <row r="315" spans="1:28">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row>
    <row r="316" spans="1:28">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row>
    <row r="317" spans="1:28">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row>
    <row r="318" spans="1:2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row>
    <row r="319" spans="1:28">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row>
    <row r="320" spans="1:28">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row>
    <row r="321" spans="1:28">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row>
    <row r="322" spans="1:28">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row>
    <row r="323" spans="1:28">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row>
    <row r="324" spans="1:28">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row>
    <row r="325" spans="1:28">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row>
    <row r="326" spans="1:28">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row>
    <row r="327" spans="1:28">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row>
    <row r="328" spans="1: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row>
    <row r="329" spans="1:28">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row>
    <row r="330" spans="1:28">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row>
    <row r="331" spans="1:28">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row>
    <row r="332" spans="1:28">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row>
    <row r="333" spans="1:28">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row>
    <row r="334" spans="1:28">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row>
    <row r="335" spans="1:28">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row>
    <row r="336" spans="1:28">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row>
    <row r="337" spans="1:28">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row>
    <row r="338" spans="1:2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row>
    <row r="339" spans="1:28">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row>
    <row r="340" spans="1:28">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row>
    <row r="341" spans="1:28">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row>
    <row r="342" spans="1:28">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row>
    <row r="343" spans="1:28">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row>
    <row r="344" spans="1:28">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row>
    <row r="345" spans="1:28">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row>
    <row r="346" spans="1:28">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row>
    <row r="347" spans="1:28">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row>
    <row r="348" spans="1:2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row>
    <row r="349" spans="1:28">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row>
    <row r="350" spans="1:28">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row>
    <row r="351" spans="1:28">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row>
    <row r="352" spans="1:28">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row>
    <row r="353" spans="1:28">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row>
    <row r="354" spans="1:28">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row>
    <row r="355" spans="1:28">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row>
    <row r="356" spans="1:28">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row>
    <row r="357" spans="1:28">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row>
    <row r="358" spans="1:2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row>
    <row r="359" spans="1:28">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row>
    <row r="360" spans="1:28">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row>
    <row r="361" spans="1:28">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row>
    <row r="362" spans="1:28">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row>
    <row r="363" spans="1:28">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row>
    <row r="364" spans="1:28">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row>
    <row r="365" spans="1:28">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row>
    <row r="366" spans="1:28">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row>
    <row r="367" spans="1:28">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row>
    <row r="368" spans="1:2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row>
    <row r="369" spans="1:28">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row>
    <row r="370" spans="1:28">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row>
    <row r="371" spans="1:28">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row>
    <row r="372" spans="1:28">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row>
    <row r="373" spans="1:28">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row>
    <row r="374" spans="1:28">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row>
    <row r="375" spans="1:28">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row>
    <row r="376" spans="1:28">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row>
    <row r="377" spans="1:28">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row>
    <row r="378" spans="1:2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row>
    <row r="379" spans="1:28">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row>
    <row r="380" spans="1:28">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row>
    <row r="381" spans="1:28">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row>
    <row r="382" spans="1:28">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row>
    <row r="383" spans="1:28">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row>
    <row r="384" spans="1:28">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row>
    <row r="385" spans="1:28">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row>
    <row r="386" spans="1:28">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row>
    <row r="387" spans="1:28">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row>
    <row r="388" spans="1:2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row>
    <row r="389" spans="1:28">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row>
    <row r="390" spans="1:28">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row>
    <row r="391" spans="1:28">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row>
    <row r="392" spans="1:28">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row>
    <row r="393" spans="1:28">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row>
    <row r="394" spans="1:28">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row>
    <row r="395" spans="1:28">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row>
    <row r="396" spans="1:28">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row>
    <row r="397" spans="1:28">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row>
    <row r="398" spans="1:2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row>
    <row r="399" spans="1:28">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row>
    <row r="400" spans="1:28">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row>
    <row r="401" spans="1:28">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row>
    <row r="402" spans="1:28">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row>
    <row r="403" spans="1:28">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row>
    <row r="404" spans="1:28">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row>
    <row r="405" spans="1:28">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row>
    <row r="406" spans="1:28">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row>
    <row r="407" spans="1:28">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row>
    <row r="408" spans="1:2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row>
    <row r="409" spans="1:28">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row>
    <row r="410" spans="1:28">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row>
    <row r="411" spans="1:28">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row>
    <row r="412" spans="1:28">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row>
    <row r="413" spans="1:28">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row>
    <row r="414" spans="1:28">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row>
    <row r="415" spans="1:28">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row>
    <row r="416" spans="1:28">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row>
    <row r="417" spans="1:28">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row>
    <row r="418" spans="1:2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row>
    <row r="419" spans="1:28">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row>
    <row r="420" spans="1:28">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row>
    <row r="421" spans="1:28">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row>
    <row r="422" spans="1:28">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row>
    <row r="423" spans="1:28">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row>
    <row r="424" spans="1:28">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row>
    <row r="425" spans="1:28">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row>
    <row r="426" spans="1:28">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row>
    <row r="427" spans="1:28">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row>
    <row r="428" spans="1: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row>
    <row r="429" spans="1:28">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row>
    <row r="430" spans="1:28">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row>
    <row r="431" spans="1:28">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row>
    <row r="432" spans="1:28">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row>
    <row r="433" spans="1:28">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row>
    <row r="434" spans="1:28">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row>
    <row r="435" spans="1:28">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row>
    <row r="436" spans="1:28">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row>
    <row r="437" spans="1:28">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row>
    <row r="438" spans="1:2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row>
    <row r="439" spans="1:28">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row>
    <row r="440" spans="1:28">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row>
    <row r="441" spans="1:28">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row>
    <row r="442" spans="1:28">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row>
    <row r="443" spans="1:28">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row>
    <row r="444" spans="1:28">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row>
    <row r="445" spans="1:28">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row>
    <row r="446" spans="1:28">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row>
    <row r="447" spans="1:28">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row>
    <row r="448" spans="1:2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row>
    <row r="449" spans="1:28">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row>
    <row r="450" spans="1:28">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row>
    <row r="451" spans="1:28">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row>
    <row r="452" spans="1:28">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row>
    <row r="453" spans="1:28">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row>
    <row r="454" spans="1:28">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row>
    <row r="455" spans="1:28">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row>
    <row r="456" spans="1:28">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row>
    <row r="457" spans="1:28">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row>
    <row r="458" spans="1:2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row>
    <row r="459" spans="1:28">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row>
    <row r="460" spans="1:28">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row>
    <row r="461" spans="1:28">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row>
    <row r="462" spans="1:28">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row>
    <row r="463" spans="1:28">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row>
    <row r="464" spans="1:28">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row>
    <row r="465" spans="1:28">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row>
    <row r="466" spans="1:28">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row>
    <row r="467" spans="1:28">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row>
    <row r="468" spans="1:2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row>
    <row r="469" spans="1:28">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row>
    <row r="470" spans="1:28">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row>
    <row r="471" spans="1:28">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row>
    <row r="472" spans="1:28">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row>
    <row r="473" spans="1:28">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row>
    <row r="474" spans="1:28">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row>
    <row r="475" spans="1:28">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row>
    <row r="476" spans="1:28">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row>
    <row r="477" spans="1:28">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row>
    <row r="478" spans="1:2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row>
    <row r="479" spans="1:28">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row>
    <row r="480" spans="1:28">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row>
    <row r="481" spans="1:28">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row>
    <row r="482" spans="1:28">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row>
    <row r="483" spans="1:28">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row>
    <row r="484" spans="1:28">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row>
    <row r="485" spans="1:28">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row>
    <row r="486" spans="1:28">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row>
    <row r="487" spans="1:28">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row>
    <row r="488" spans="1:2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row>
    <row r="489" spans="1:28">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row>
    <row r="490" spans="1:28">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row>
    <row r="491" spans="1:28">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row>
    <row r="492" spans="1:28">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row>
    <row r="493" spans="1:28">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row>
    <row r="494" spans="1:28">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row>
    <row r="495" spans="1:28">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row>
    <row r="496" spans="1:28">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row>
    <row r="497" spans="1:28">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row>
    <row r="498" spans="1:2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row>
    <row r="499" spans="1:28">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row>
    <row r="500" spans="1:28">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row>
    <row r="501" spans="1:28">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row>
    <row r="502" spans="1:28">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row>
    <row r="503" spans="1:28">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row>
    <row r="504" spans="1:28">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row>
    <row r="505" spans="1:28">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row>
    <row r="506" spans="1:28">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row>
    <row r="507" spans="1:28">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row>
    <row r="508" spans="1:2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row>
    <row r="509" spans="1:28">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row>
    <row r="510" spans="1:28">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row>
    <row r="511" spans="1:28">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row>
    <row r="512" spans="1:28">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row>
    <row r="513" spans="1:28">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row>
    <row r="514" spans="1:28">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row>
    <row r="515" spans="1:28">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row>
    <row r="516" spans="1:28">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row>
    <row r="517" spans="1:28">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row>
    <row r="518" spans="1:2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row>
    <row r="519" spans="1:28">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row>
    <row r="520" spans="1:28">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row>
    <row r="521" spans="1:28">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row>
    <row r="522" spans="1:28">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row>
    <row r="523" spans="1:28">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row>
    <row r="524" spans="1:28">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row>
    <row r="525" spans="1:28">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row>
    <row r="526" spans="1:28">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row>
    <row r="527" spans="1:28">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row>
    <row r="528" spans="1: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row>
    <row r="529" spans="1:28">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row>
    <row r="530" spans="1:28">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row>
    <row r="531" spans="1:28">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row>
    <row r="532" spans="1:28">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row>
    <row r="533" spans="1:28">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row>
    <row r="534" spans="1:28">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row>
    <row r="535" spans="1:28">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row>
    <row r="536" spans="1:28">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row>
    <row r="537" spans="1:28">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row>
    <row r="538" spans="1:2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row>
    <row r="539" spans="1:28">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row>
    <row r="540" spans="1:28">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row>
    <row r="541" spans="1:28">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row>
    <row r="542" spans="1:28">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row>
    <row r="543" spans="1:28">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row>
    <row r="544" spans="1:28">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row>
    <row r="545" spans="1:28">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row>
    <row r="546" spans="1:28">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row>
    <row r="547" spans="1:28">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row>
    <row r="548" spans="1:2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row>
    <row r="549" spans="1:28">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row>
    <row r="550" spans="1:28">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row>
    <row r="551" spans="1:28">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row>
    <row r="552" spans="1:28">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row>
    <row r="553" spans="1:28">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row>
    <row r="554" spans="1:28">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row>
    <row r="555" spans="1:28">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row>
    <row r="556" spans="1:28">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row>
    <row r="557" spans="1:28">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row>
    <row r="558" spans="1:2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row>
    <row r="559" spans="1:28">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row>
    <row r="560" spans="1:28">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row>
    <row r="561" spans="1:28">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row>
    <row r="562" spans="1:28">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row>
    <row r="563" spans="1:28">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row>
    <row r="564" spans="1:28">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row>
    <row r="565" spans="1:28">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row>
    <row r="566" spans="1:28">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row>
    <row r="567" spans="1:28">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row>
    <row r="568" spans="1:2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row>
    <row r="569" spans="1:28">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row>
    <row r="570" spans="1:28">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row>
    <row r="571" spans="1:28">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row>
    <row r="572" spans="1:28">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row>
    <row r="573" spans="1:28">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row>
    <row r="574" spans="1:28">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row>
    <row r="575" spans="1:28">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row>
    <row r="576" spans="1:28">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row>
    <row r="577" spans="1:28">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row>
    <row r="578" spans="1:2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row>
    <row r="579" spans="1:28">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row>
    <row r="580" spans="1:28">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row>
    <row r="581" spans="1:28">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row>
    <row r="582" spans="1:28">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row>
    <row r="583" spans="1:28">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row>
    <row r="584" spans="1:28">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row>
    <row r="585" spans="1:28">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row>
    <row r="586" spans="1:28">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row>
    <row r="587" spans="1:28">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row>
    <row r="588" spans="1:2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row>
    <row r="589" spans="1:28">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row>
    <row r="590" spans="1:28">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row>
    <row r="591" spans="1:28">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row>
    <row r="592" spans="1:28">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row>
    <row r="593" spans="1:28">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row>
    <row r="594" spans="1:28">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row>
    <row r="595" spans="1:28">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row>
    <row r="596" spans="1:28">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row>
    <row r="597" spans="1:28">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row>
    <row r="598" spans="1:2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row>
    <row r="599" spans="1:28">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row>
    <row r="600" spans="1:28">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row>
    <row r="601" spans="1:28">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row>
    <row r="602" spans="1:28">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row>
    <row r="603" spans="1:28">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row>
    <row r="604" spans="1:28">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row>
    <row r="605" spans="1:28">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row>
    <row r="606" spans="1:28">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row>
    <row r="607" spans="1:28">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row>
    <row r="608" spans="1:2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row>
    <row r="609" spans="1:28">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row>
    <row r="610" spans="1:28">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row>
    <row r="611" spans="1:28">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row>
    <row r="612" spans="1:28">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row>
    <row r="613" spans="1:28">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row>
    <row r="614" spans="1:28">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row>
    <row r="615" spans="1:28">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row>
    <row r="616" spans="1:28">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row>
    <row r="617" spans="1:28">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row>
    <row r="618" spans="1:2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row>
    <row r="619" spans="1:28">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row>
    <row r="620" spans="1:28">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row>
    <row r="621" spans="1:28">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row>
    <row r="622" spans="1:28">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row>
    <row r="623" spans="1:28">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row>
    <row r="624" spans="1:28">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row>
    <row r="625" spans="1:28">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row>
    <row r="626" spans="1:28">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row>
    <row r="627" spans="1:28">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row>
    <row r="628" spans="1: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row>
    <row r="629" spans="1:28">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row>
    <row r="630" spans="1:28">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row>
    <row r="631" spans="1:28">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row>
    <row r="632" spans="1:28">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row>
    <row r="633" spans="1:28">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row>
    <row r="634" spans="1:28">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row>
    <row r="635" spans="1:28">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row>
    <row r="636" spans="1:28">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row>
    <row r="637" spans="1:28">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row>
    <row r="638" spans="1:2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row>
    <row r="639" spans="1:28">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row>
    <row r="640" spans="1:28">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row>
    <row r="641" spans="1:28">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row>
    <row r="642" spans="1:28">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row>
    <row r="643" spans="1:28">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row>
    <row r="644" spans="1:28">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row>
    <row r="645" spans="1:28">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row>
    <row r="646" spans="1:28">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row>
    <row r="647" spans="1:28">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row>
    <row r="648" spans="1:2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row>
    <row r="649" spans="1:28">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row>
    <row r="650" spans="1:28">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row>
    <row r="651" spans="1:28">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row>
    <row r="652" spans="1:28">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row>
    <row r="653" spans="1:28">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row>
    <row r="654" spans="1:28">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row>
    <row r="655" spans="1:28">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row>
    <row r="656" spans="1:28">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row>
    <row r="657" spans="1:28">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row>
    <row r="658" spans="1:2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row>
    <row r="659" spans="1:28">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row>
    <row r="660" spans="1:28">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row>
    <row r="661" spans="1:28">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row>
    <row r="662" spans="1:28">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row>
    <row r="663" spans="1:28">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row>
    <row r="664" spans="1:28">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row>
    <row r="665" spans="1:28">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row>
    <row r="666" spans="1:28">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row>
    <row r="667" spans="1:28">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row>
    <row r="668" spans="1:2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row>
    <row r="669" spans="1:28">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row>
    <row r="670" spans="1:28">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row>
    <row r="671" spans="1:28">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row>
    <row r="672" spans="1:28">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row>
    <row r="673" spans="1:28">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row>
    <row r="674" spans="1:28">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row>
    <row r="675" spans="1:28">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row>
    <row r="676" spans="1:28">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row>
    <row r="677" spans="1:28">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row>
    <row r="678" spans="1:2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row>
    <row r="679" spans="1:28">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row>
    <row r="680" spans="1:28">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row>
    <row r="681" spans="1:28">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row>
    <row r="682" spans="1:28">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row>
    <row r="683" spans="1:28">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row>
    <row r="684" spans="1:28">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row>
    <row r="685" spans="1:28">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row>
    <row r="686" spans="1:28">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row>
    <row r="687" spans="1:28">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row>
    <row r="688" spans="1:2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row>
    <row r="689" spans="1:28">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row>
    <row r="690" spans="1:28">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row>
    <row r="691" spans="1:28">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row>
    <row r="692" spans="1:28">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row>
    <row r="693" spans="1:28">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row>
    <row r="694" spans="1:28">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row>
    <row r="695" spans="1:28">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row>
    <row r="696" spans="1:28">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row>
    <row r="697" spans="1:28">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row>
    <row r="698" spans="1:2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row>
    <row r="699" spans="1:28">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row>
    <row r="700" spans="1:28">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row>
    <row r="701" spans="1:28">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row>
    <row r="702" spans="1:28">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row>
    <row r="703" spans="1:28">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row>
    <row r="704" spans="1:28">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row>
    <row r="705" spans="1:28">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row>
    <row r="706" spans="1:28">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row>
    <row r="707" spans="1:28">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row>
    <row r="708" spans="1:2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row>
    <row r="709" spans="1:28">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row>
    <row r="710" spans="1:28">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row>
    <row r="711" spans="1:28">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row>
    <row r="712" spans="1:28">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row>
    <row r="713" spans="1:28">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row>
    <row r="714" spans="1:28">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row>
    <row r="715" spans="1:28">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row>
    <row r="716" spans="1:28">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row>
    <row r="717" spans="1:28">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row>
    <row r="718" spans="1:2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row>
    <row r="719" spans="1:28">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row>
    <row r="720" spans="1:28">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row>
    <row r="721" spans="1:28">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row>
    <row r="722" spans="1:28">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row>
    <row r="723" spans="1:28">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row>
    <row r="724" spans="1:28">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row>
    <row r="725" spans="1:28">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row>
    <row r="726" spans="1:28">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row>
    <row r="727" spans="1:28">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row>
    <row r="728" spans="1: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row>
    <row r="729" spans="1:28">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row>
    <row r="730" spans="1:28">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row>
    <row r="731" spans="1:28">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row>
    <row r="732" spans="1:28">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row>
    <row r="733" spans="1:28">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row>
    <row r="734" spans="1:28">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row>
    <row r="735" spans="1:28">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row>
    <row r="736" spans="1:28">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row>
    <row r="737" spans="1:28">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row>
    <row r="738" spans="1:2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row>
    <row r="739" spans="1:28">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row>
    <row r="740" spans="1:28">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row>
    <row r="741" spans="1:28">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row>
    <row r="742" spans="1:28">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row>
    <row r="743" spans="1:28">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row>
    <row r="744" spans="1:28">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row>
    <row r="745" spans="1:28">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row>
    <row r="746" spans="1:28">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row>
    <row r="747" spans="1:28">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row>
    <row r="748" spans="1:2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row>
    <row r="749" spans="1:28">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row>
    <row r="750" spans="1:28">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row>
    <row r="751" spans="1:28">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row>
    <row r="752" spans="1:28">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row>
    <row r="753" spans="1:28">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row>
    <row r="754" spans="1:28">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row>
    <row r="755" spans="1:28">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row>
    <row r="756" spans="1:28">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row>
    <row r="757" spans="1:28">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row>
    <row r="758" spans="1:2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row>
    <row r="759" spans="1:28">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row>
    <row r="760" spans="1:28">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row>
    <row r="761" spans="1:28">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row>
    <row r="762" spans="1:28">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row>
    <row r="763" spans="1:28">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row>
    <row r="764" spans="1:28">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row>
    <row r="765" spans="1:28">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row>
    <row r="766" spans="1:28">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row>
    <row r="767" spans="1:28">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row>
    <row r="768" spans="1:2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row>
    <row r="769" spans="1:28">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row>
    <row r="770" spans="1:28">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row>
    <row r="771" spans="1:28">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row>
    <row r="772" spans="1:28">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row>
    <row r="773" spans="1:28">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row>
    <row r="774" spans="1:28">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row>
    <row r="775" spans="1:28">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row>
    <row r="776" spans="1:28">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row>
    <row r="777" spans="1:28">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row>
    <row r="778" spans="1:2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row>
    <row r="779" spans="1:28">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row>
    <row r="780" spans="1:28">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row>
    <row r="781" spans="1:28">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row>
    <row r="782" spans="1:28">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row>
    <row r="783" spans="1:28">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row>
    <row r="784" spans="1:28">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row>
    <row r="785" spans="1:28">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row>
    <row r="786" spans="1:28">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row>
    <row r="787" spans="1:28">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row>
    <row r="788" spans="1:2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row>
    <row r="789" spans="1:28">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row>
    <row r="790" spans="1:28">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row>
    <row r="791" spans="1:28">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row>
    <row r="792" spans="1:28">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row>
    <row r="793" spans="1:28">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row>
    <row r="794" spans="1:28">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row>
    <row r="795" spans="1:28">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row>
    <row r="796" spans="1:28">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row>
    <row r="797" spans="1:28">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row>
    <row r="798" spans="1:2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row>
    <row r="799" spans="1:28">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row>
    <row r="800" spans="1:28">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row>
    <row r="801" spans="1:28">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row>
    <row r="802" spans="1:28">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row>
    <row r="803" spans="1:28">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row>
    <row r="804" spans="1:28">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row>
    <row r="805" spans="1:28">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row>
    <row r="806" spans="1:28">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row>
    <row r="807" spans="1:28">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row>
    <row r="808" spans="1:2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row>
    <row r="809" spans="1:28">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row>
    <row r="810" spans="1:28">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row>
    <row r="811" spans="1:28">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row>
    <row r="812" spans="1:28">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row>
    <row r="813" spans="1:28">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row>
    <row r="814" spans="1:28">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row>
    <row r="815" spans="1:28">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row>
    <row r="816" spans="1:28">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row>
    <row r="817" spans="1:28">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row>
    <row r="818" spans="1:2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row>
    <row r="819" spans="1:28">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row>
    <row r="820" spans="1:28">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row>
    <row r="821" spans="1:28">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row>
    <row r="822" spans="1:28">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row>
    <row r="823" spans="1:28">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row>
    <row r="824" spans="1:28">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row>
    <row r="825" spans="1:28">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row>
    <row r="826" spans="1:28">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row>
    <row r="827" spans="1:28">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row>
    <row r="828" spans="1: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row>
    <row r="829" spans="1:28">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row>
    <row r="830" spans="1:28">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row>
    <row r="831" spans="1:28">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row>
    <row r="832" spans="1:28">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row>
    <row r="833" spans="1:28">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row>
    <row r="834" spans="1:28">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row>
    <row r="835" spans="1:28">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row>
    <row r="836" spans="1:28">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row>
    <row r="837" spans="1:28">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row>
    <row r="838" spans="1:2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row>
    <row r="839" spans="1:28">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row>
    <row r="840" spans="1:28">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row>
    <row r="841" spans="1:28">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row>
    <row r="842" spans="1:28">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row>
    <row r="843" spans="1:28">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row>
    <row r="844" spans="1:28">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row>
    <row r="845" spans="1:28">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row>
    <row r="846" spans="1:28">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row>
    <row r="847" spans="1:28">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row>
    <row r="848" spans="1:2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row>
    <row r="849" spans="1:28">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row>
    <row r="850" spans="1:28">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row>
    <row r="851" spans="1:28">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row>
    <row r="852" spans="1:28">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row>
    <row r="853" spans="1:28">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row>
    <row r="854" spans="1:28">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row>
    <row r="855" spans="1:28">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row>
    <row r="856" spans="1:28">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row>
    <row r="857" spans="1:28">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row>
    <row r="858" spans="1:2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row>
    <row r="859" spans="1:28">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row>
    <row r="860" spans="1:28">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row>
    <row r="861" spans="1:28">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row>
    <row r="862" spans="1:28">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row>
    <row r="863" spans="1:28">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row>
    <row r="864" spans="1:28">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row>
    <row r="865" spans="1:28">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row>
    <row r="866" spans="1:28">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row>
    <row r="867" spans="1:28">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row>
    <row r="868" spans="1:2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row>
    <row r="869" spans="1:28">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row>
    <row r="870" spans="1:28">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row>
    <row r="871" spans="1:28">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row>
    <row r="872" spans="1:28">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row>
    <row r="873" spans="1:28">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row>
    <row r="874" spans="1:28">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row>
    <row r="875" spans="1:28">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row>
    <row r="876" spans="1:28">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row>
    <row r="877" spans="1:28">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row>
    <row r="878" spans="1:2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row>
    <row r="879" spans="1:28">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row>
    <row r="880" spans="1:28">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row>
    <row r="881" spans="1:28">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row>
    <row r="882" spans="1:28">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row>
    <row r="883" spans="1:28">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row>
    <row r="884" spans="1:28">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row>
    <row r="885" spans="1:28">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row>
    <row r="886" spans="1:28">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row>
    <row r="887" spans="1:28">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row>
    <row r="888" spans="1:2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row>
    <row r="889" spans="1:28">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row>
    <row r="890" spans="1:28">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row>
    <row r="891" spans="1:28">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row>
    <row r="892" spans="1:28">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row>
    <row r="893" spans="1:28">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row>
    <row r="894" spans="1:28">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row>
    <row r="895" spans="1:28">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row>
    <row r="896" spans="1:28">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row>
    <row r="897" spans="1:28">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row>
    <row r="898" spans="1:2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row>
    <row r="899" spans="1:28">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row>
    <row r="900" spans="1:28">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row>
    <row r="901" spans="1:28">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row>
    <row r="902" spans="1:28">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row>
    <row r="903" spans="1:28">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row>
    <row r="904" spans="1:28">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row>
    <row r="905" spans="1:28">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row>
    <row r="906" spans="1:28">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row>
    <row r="907" spans="1:28">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row>
    <row r="908" spans="1:2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row>
    <row r="909" spans="1:28">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row>
    <row r="910" spans="1:28">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row>
    <row r="911" spans="1:28">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row>
    <row r="912" spans="1:28">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row>
    <row r="913" spans="1:28">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row>
    <row r="914" spans="1:28">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row>
    <row r="915" spans="1:28">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row>
    <row r="916" spans="1:28">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row>
    <row r="917" spans="1:28">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row>
    <row r="918" spans="1:2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row>
    <row r="919" spans="1:28">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row>
    <row r="920" spans="1:28">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row>
    <row r="921" spans="1:28">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row>
    <row r="922" spans="1:28">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row>
    <row r="923" spans="1:28">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row>
    <row r="924" spans="1:28">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row>
    <row r="925" spans="1:28">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row>
    <row r="926" spans="1:28">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row>
    <row r="927" spans="1:28">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row>
    <row r="928" spans="1: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row>
    <row r="929" spans="1:28">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row>
    <row r="930" spans="1:28">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row>
    <row r="931" spans="1:28">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row>
    <row r="932" spans="1:28">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row>
    <row r="933" spans="1:28">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row>
    <row r="934" spans="1:28">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row>
    <row r="935" spans="1:28">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row>
    <row r="936" spans="1:28">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row>
    <row r="937" spans="1:28">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row>
    <row r="938" spans="1:2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row>
    <row r="939" spans="1:28">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row>
    <row r="940" spans="1:28">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row>
    <row r="941" spans="1:28">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row>
    <row r="942" spans="1:28">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row>
    <row r="943" spans="1:28">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row>
    <row r="944" spans="1:28">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row>
    <row r="945" spans="1:28">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row>
    <row r="946" spans="1:28">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row>
    <row r="947" spans="1:28">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row>
    <row r="948" spans="1:2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row>
    <row r="949" spans="1:28">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row>
    <row r="950" spans="1:28">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row>
    <row r="951" spans="1:28">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row>
    <row r="952" spans="1:28">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row>
    <row r="953" spans="1:28">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row>
    <row r="954" spans="1:28">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row>
    <row r="955" spans="1:28">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row>
    <row r="956" spans="1:28">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row>
    <row r="957" spans="1:28">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row>
    <row r="958" spans="1:2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row>
    <row r="959" spans="1:28">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row>
    <row r="960" spans="1:28">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row>
    <row r="961" spans="1:28">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row>
    <row r="962" spans="1:28">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row>
    <row r="963" spans="1:28">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row>
    <row r="964" spans="1:28">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row>
    <row r="965" spans="1:28">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row>
    <row r="966" spans="1:28">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row>
    <row r="967" spans="1:28">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row>
    <row r="968" spans="1:2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row>
    <row r="969" spans="1:28">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row>
    <row r="970" spans="1:28">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row>
    <row r="971" spans="1:28">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row>
    <row r="972" spans="1:28">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row>
    <row r="973" spans="1:28">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row>
    <row r="974" spans="1:28">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row>
    <row r="975" spans="1:28">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row>
    <row r="976" spans="1:28">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row>
    <row r="977" spans="1:28">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row>
    <row r="978" spans="1:2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row>
    <row r="979" spans="1:28">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row>
    <row r="980" spans="1:28">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row>
    <row r="981" spans="1:28">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row>
    <row r="982" spans="1:28">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row>
    <row r="983" spans="1:28">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row>
    <row r="984" spans="1:28">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row>
    <row r="985" spans="1:28">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row>
    <row r="986" spans="1:28">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row>
    <row r="987" spans="1:28">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row>
    <row r="988" spans="1:2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row>
    <row r="989" spans="1:28">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row>
    <row r="990" spans="1:28">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row>
    <row r="991" spans="1:28">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row>
    <row r="992" spans="1:28">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row>
    <row r="993" spans="1:28">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row>
    <row r="994" spans="1:28">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row>
    <row r="995" spans="1:28">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row>
    <row r="996" spans="1:28">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row>
    <row r="997" spans="1:28">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row>
    <row r="998" spans="1:2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row>
    <row r="999" spans="1:28">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AA1000"/>
  <sheetViews>
    <sheetView zoomScale="80" zoomScaleNormal="80" workbookViewId="0">
      <selection activeCell="B17" sqref="B17"/>
    </sheetView>
  </sheetViews>
  <sheetFormatPr defaultColWidth="12.5714285714286" defaultRowHeight="15.75" customHeight="1"/>
  <cols>
    <col min="1" max="1" width="25.7142857142857" customWidth="1"/>
    <col min="2" max="2" width="98.7142857142857" customWidth="1"/>
    <col min="3" max="3" width="17.7142857142857" customWidth="1"/>
    <col min="4" max="4" width="39.1428571428571" customWidth="1"/>
    <col min="5" max="5" width="52.8571428571429" customWidth="1"/>
    <col min="6" max="6" width="16.5714285714286" customWidth="1"/>
  </cols>
  <sheetData>
    <row r="2" customHeight="1" spans="1:26">
      <c r="A2" s="38" t="s">
        <v>0</v>
      </c>
      <c r="B2" s="39" t="s">
        <v>133</v>
      </c>
      <c r="C2" s="40" t="s">
        <v>134</v>
      </c>
      <c r="D2" s="41"/>
      <c r="E2" s="41"/>
      <c r="F2" s="41"/>
      <c r="G2" s="41"/>
      <c r="H2" s="41"/>
      <c r="I2" s="41"/>
      <c r="J2" s="41"/>
      <c r="K2" s="41"/>
      <c r="L2" s="41"/>
      <c r="M2" s="41"/>
      <c r="N2" s="41"/>
      <c r="O2" s="41"/>
      <c r="P2" s="41"/>
      <c r="Q2" s="41"/>
      <c r="R2" s="41"/>
      <c r="S2" s="41"/>
      <c r="T2" s="41"/>
      <c r="U2" s="41"/>
      <c r="V2" s="41"/>
      <c r="W2" s="41"/>
      <c r="X2" s="41"/>
      <c r="Y2" s="41"/>
      <c r="Z2" s="41"/>
    </row>
    <row r="3" customHeight="1" spans="1:26">
      <c r="A3" s="42" t="s">
        <v>135</v>
      </c>
      <c r="B3" s="43" t="s">
        <v>136</v>
      </c>
      <c r="C3" s="43"/>
      <c r="D3" s="41"/>
      <c r="E3" s="41"/>
      <c r="F3" s="41"/>
      <c r="G3" s="41"/>
      <c r="H3" s="41"/>
      <c r="I3" s="41"/>
      <c r="J3" s="41"/>
      <c r="K3" s="41"/>
      <c r="L3" s="41"/>
      <c r="M3" s="41"/>
      <c r="N3" s="41"/>
      <c r="O3" s="41"/>
      <c r="P3" s="41"/>
      <c r="Q3" s="41"/>
      <c r="R3" s="41"/>
      <c r="S3" s="41"/>
      <c r="T3" s="41"/>
      <c r="U3" s="41"/>
      <c r="V3" s="41"/>
      <c r="W3" s="41"/>
      <c r="X3" s="41"/>
      <c r="Y3" s="41"/>
      <c r="Z3" s="41"/>
    </row>
    <row r="4" customHeight="1" spans="1:26">
      <c r="A4" s="42" t="s">
        <v>137</v>
      </c>
      <c r="B4" s="44" t="s">
        <v>138</v>
      </c>
      <c r="C4" s="45">
        <f>(E14-F30)/E19</f>
        <v>562500</v>
      </c>
      <c r="D4" s="41"/>
      <c r="E4" s="41"/>
      <c r="F4" s="41"/>
      <c r="G4" s="41"/>
      <c r="H4" s="41"/>
      <c r="I4" s="41"/>
      <c r="J4" s="41"/>
      <c r="K4" s="41"/>
      <c r="L4" s="41"/>
      <c r="M4" s="41"/>
      <c r="N4" s="41"/>
      <c r="O4" s="41"/>
      <c r="P4" s="41"/>
      <c r="Q4" s="41"/>
      <c r="R4" s="41"/>
      <c r="S4" s="41"/>
      <c r="T4" s="41"/>
      <c r="U4" s="41"/>
      <c r="V4" s="41"/>
      <c r="W4" s="41"/>
      <c r="X4" s="41"/>
      <c r="Y4" s="41"/>
      <c r="Z4" s="41"/>
    </row>
    <row r="5" customHeight="1" spans="1:26">
      <c r="A5" s="41"/>
      <c r="B5" s="44" t="s">
        <v>139</v>
      </c>
      <c r="C5" s="45">
        <f t="shared" ref="C5:C6" si="0">(E15-F31)/E20</f>
        <v>562500</v>
      </c>
      <c r="D5" s="41"/>
      <c r="E5" s="41"/>
      <c r="F5" s="41"/>
      <c r="G5" s="41"/>
      <c r="H5" s="41"/>
      <c r="I5" s="41"/>
      <c r="J5" s="41"/>
      <c r="K5" s="41"/>
      <c r="L5" s="41"/>
      <c r="M5" s="41"/>
      <c r="N5" s="41"/>
      <c r="O5" s="41"/>
      <c r="P5" s="41"/>
      <c r="Q5" s="41"/>
      <c r="R5" s="41"/>
      <c r="S5" s="41"/>
      <c r="T5" s="41"/>
      <c r="U5" s="41"/>
      <c r="V5" s="41"/>
      <c r="W5" s="41"/>
      <c r="X5" s="41"/>
      <c r="Y5" s="41"/>
      <c r="Z5" s="41"/>
    </row>
    <row r="6" customHeight="1" spans="1:26">
      <c r="A6" s="41"/>
      <c r="B6" s="44" t="s">
        <v>140</v>
      </c>
      <c r="C6" s="45">
        <f t="shared" si="0"/>
        <v>562500</v>
      </c>
      <c r="D6" s="41"/>
      <c r="E6" s="41"/>
      <c r="F6" s="41"/>
      <c r="G6" s="41"/>
      <c r="H6" s="41"/>
      <c r="I6" s="41"/>
      <c r="J6" s="41"/>
      <c r="K6" s="41"/>
      <c r="L6" s="41"/>
      <c r="M6" s="41"/>
      <c r="N6" s="41"/>
      <c r="O6" s="41"/>
      <c r="P6" s="41"/>
      <c r="Q6" s="41"/>
      <c r="R6" s="41"/>
      <c r="S6" s="41"/>
      <c r="T6" s="41"/>
      <c r="U6" s="41"/>
      <c r="V6" s="41"/>
      <c r="W6" s="41"/>
      <c r="X6" s="41"/>
      <c r="Y6" s="41"/>
      <c r="Z6" s="41"/>
    </row>
    <row r="7" customHeight="1" spans="1:26">
      <c r="A7" s="41"/>
      <c r="B7" s="41"/>
      <c r="C7" s="46">
        <f>SUM(C4:C6)</f>
        <v>1687500</v>
      </c>
      <c r="D7" s="41"/>
      <c r="E7" s="41"/>
      <c r="F7" s="41"/>
      <c r="G7" s="41"/>
      <c r="H7" s="41"/>
      <c r="I7" s="41"/>
      <c r="J7" s="41"/>
      <c r="K7" s="41"/>
      <c r="L7" s="41"/>
      <c r="M7" s="41"/>
      <c r="N7" s="41"/>
      <c r="O7" s="41"/>
      <c r="P7" s="41"/>
      <c r="Q7" s="41"/>
      <c r="R7" s="41"/>
      <c r="S7" s="41"/>
      <c r="T7" s="41"/>
      <c r="U7" s="41"/>
      <c r="V7" s="41"/>
      <c r="W7" s="41"/>
      <c r="X7" s="41"/>
      <c r="Y7" s="41"/>
      <c r="Z7" s="41"/>
    </row>
    <row r="8" customHeight="1" spans="1:26">
      <c r="A8" s="41"/>
      <c r="B8" s="41"/>
      <c r="C8" s="41"/>
      <c r="D8" s="41"/>
      <c r="E8" s="41"/>
      <c r="F8" s="41"/>
      <c r="G8" s="41"/>
      <c r="H8" s="41"/>
      <c r="I8" s="41"/>
      <c r="J8" s="41"/>
      <c r="K8" s="41"/>
      <c r="L8" s="41"/>
      <c r="M8" s="41"/>
      <c r="N8" s="41"/>
      <c r="O8" s="41"/>
      <c r="P8" s="41"/>
      <c r="Q8" s="41"/>
      <c r="R8" s="41"/>
      <c r="S8" s="41"/>
      <c r="T8" s="41"/>
      <c r="U8" s="41"/>
      <c r="V8" s="41"/>
      <c r="W8" s="41"/>
      <c r="X8" s="41"/>
      <c r="Y8" s="41"/>
      <c r="Z8" s="41"/>
    </row>
    <row r="9" customHeight="1" spans="1:26">
      <c r="A9" s="41"/>
      <c r="B9" s="41"/>
      <c r="C9" s="41"/>
      <c r="D9" s="41"/>
      <c r="E9" s="41"/>
      <c r="F9" s="41"/>
      <c r="G9" s="41"/>
      <c r="H9" s="41"/>
      <c r="I9" s="41"/>
      <c r="J9" s="41"/>
      <c r="K9" s="41"/>
      <c r="L9" s="41"/>
      <c r="M9" s="41"/>
      <c r="N9" s="41"/>
      <c r="O9" s="41"/>
      <c r="P9" s="41"/>
      <c r="Q9" s="41"/>
      <c r="R9" s="41"/>
      <c r="S9" s="41"/>
      <c r="T9" s="41"/>
      <c r="U9" s="41"/>
      <c r="V9" s="41"/>
      <c r="W9" s="41"/>
      <c r="X9" s="41"/>
      <c r="Y9" s="41"/>
      <c r="Z9" s="41"/>
    </row>
    <row r="10" customHeight="1" spans="1:26">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ustomHeight="1" spans="1:26">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ustomHeight="1" spans="1:26">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ustomHeight="1" spans="1:26">
      <c r="A13" s="41"/>
      <c r="B13" s="22" t="s">
        <v>141</v>
      </c>
      <c r="C13" s="41"/>
      <c r="D13" s="47" t="s">
        <v>142</v>
      </c>
      <c r="E13" s="47" t="s">
        <v>143</v>
      </c>
      <c r="F13" s="41"/>
      <c r="G13" s="41"/>
      <c r="H13" s="41"/>
      <c r="I13" s="41"/>
      <c r="J13" s="41"/>
      <c r="K13" s="41"/>
      <c r="L13" s="41"/>
      <c r="M13" s="41"/>
      <c r="N13" s="41"/>
      <c r="O13" s="41"/>
      <c r="P13" s="41"/>
      <c r="Q13" s="41"/>
      <c r="R13" s="41"/>
      <c r="S13" s="41"/>
      <c r="T13" s="41"/>
      <c r="U13" s="41"/>
      <c r="V13" s="41"/>
      <c r="W13" s="41"/>
      <c r="X13" s="41"/>
      <c r="Y13" s="41"/>
      <c r="Z13" s="41"/>
    </row>
    <row r="14" customHeight="1" spans="1:26">
      <c r="A14" s="41"/>
      <c r="B14" s="48" t="s">
        <v>144</v>
      </c>
      <c r="C14" s="41"/>
      <c r="D14" s="49">
        <v>1</v>
      </c>
      <c r="E14" s="50">
        <v>2500000</v>
      </c>
      <c r="F14" s="41"/>
      <c r="G14" s="41"/>
      <c r="H14" s="41"/>
      <c r="I14" s="41"/>
      <c r="J14" s="41"/>
      <c r="K14" s="41"/>
      <c r="L14" s="41"/>
      <c r="M14" s="41"/>
      <c r="N14" s="41"/>
      <c r="O14" s="41"/>
      <c r="P14" s="41"/>
      <c r="Q14" s="41"/>
      <c r="R14" s="41"/>
      <c r="S14" s="41"/>
      <c r="T14" s="41"/>
      <c r="U14" s="41"/>
      <c r="V14" s="41"/>
      <c r="W14" s="41"/>
      <c r="X14" s="41"/>
      <c r="Y14" s="41"/>
      <c r="Z14" s="41"/>
    </row>
    <row r="15" customHeight="1" spans="1:26">
      <c r="A15" s="41"/>
      <c r="B15" s="48"/>
      <c r="C15" s="41"/>
      <c r="D15" s="49">
        <v>2</v>
      </c>
      <c r="E15" s="50">
        <v>2500000</v>
      </c>
      <c r="F15" s="41"/>
      <c r="G15" s="41"/>
      <c r="H15" s="41"/>
      <c r="I15" s="41"/>
      <c r="J15" s="41"/>
      <c r="K15" s="41"/>
      <c r="L15" s="41"/>
      <c r="M15" s="41"/>
      <c r="N15" s="41"/>
      <c r="O15" s="41"/>
      <c r="P15" s="41"/>
      <c r="Q15" s="41"/>
      <c r="R15" s="41"/>
      <c r="S15" s="41"/>
      <c r="T15" s="41"/>
      <c r="U15" s="41"/>
      <c r="V15" s="41"/>
      <c r="W15" s="41"/>
      <c r="X15" s="41"/>
      <c r="Y15" s="41"/>
      <c r="Z15" s="41"/>
    </row>
    <row r="16" customHeight="1" spans="1:26">
      <c r="A16" s="41"/>
      <c r="B16" s="41"/>
      <c r="C16" s="41"/>
      <c r="D16" s="49">
        <v>3</v>
      </c>
      <c r="E16" s="50">
        <v>2500000</v>
      </c>
      <c r="F16" s="41"/>
      <c r="G16" s="41"/>
      <c r="H16" s="41"/>
      <c r="I16" s="41"/>
      <c r="J16" s="41"/>
      <c r="K16" s="41"/>
      <c r="L16" s="41"/>
      <c r="M16" s="41"/>
      <c r="N16" s="41"/>
      <c r="O16" s="41"/>
      <c r="P16" s="41"/>
      <c r="Q16" s="41"/>
      <c r="R16" s="41"/>
      <c r="S16" s="41"/>
      <c r="T16" s="41"/>
      <c r="U16" s="41"/>
      <c r="V16" s="41"/>
      <c r="W16" s="41"/>
      <c r="X16" s="41"/>
      <c r="Y16" s="41"/>
      <c r="Z16" s="41"/>
    </row>
    <row r="17" customHeight="1" spans="1:27">
      <c r="A17" s="41"/>
      <c r="B17" s="51" t="s">
        <v>145</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customHeight="1" spans="1:27">
      <c r="A18" s="41"/>
      <c r="B18" s="52" t="s">
        <v>146</v>
      </c>
      <c r="C18" s="41"/>
      <c r="D18" s="47" t="s">
        <v>147</v>
      </c>
      <c r="E18" s="47" t="s">
        <v>148</v>
      </c>
      <c r="F18" s="41"/>
      <c r="G18" s="41"/>
      <c r="H18" s="41"/>
      <c r="I18" s="41"/>
      <c r="J18" s="41"/>
      <c r="K18" s="41"/>
      <c r="L18" s="41"/>
      <c r="M18" s="41"/>
      <c r="N18" s="41"/>
      <c r="O18" s="41"/>
      <c r="P18" s="41"/>
      <c r="Q18" s="41"/>
      <c r="R18" s="41"/>
      <c r="S18" s="41"/>
      <c r="T18" s="41"/>
      <c r="U18" s="41"/>
      <c r="V18" s="41"/>
      <c r="W18" s="41"/>
      <c r="X18" s="41"/>
      <c r="Y18" s="41"/>
      <c r="Z18" s="41"/>
    </row>
    <row r="19" customHeight="1" spans="1:27">
      <c r="A19" s="41"/>
      <c r="B19" s="52"/>
      <c r="C19" s="41"/>
      <c r="D19" s="49">
        <v>1</v>
      </c>
      <c r="E19" s="49">
        <v>4</v>
      </c>
      <c r="F19" s="41"/>
      <c r="G19" s="41"/>
      <c r="H19" s="41"/>
      <c r="I19" s="41"/>
      <c r="J19" s="41"/>
      <c r="K19" s="41"/>
      <c r="L19" s="41"/>
      <c r="M19" s="41"/>
      <c r="N19" s="41"/>
      <c r="O19" s="41"/>
      <c r="P19" s="41"/>
      <c r="Q19" s="41"/>
      <c r="R19" s="41"/>
      <c r="S19" s="41"/>
      <c r="T19" s="41"/>
      <c r="U19" s="41"/>
      <c r="V19" s="41"/>
      <c r="W19" s="41"/>
      <c r="X19" s="41"/>
      <c r="Y19" s="41"/>
      <c r="Z19" s="41"/>
    </row>
    <row r="20" customHeight="1" spans="1:27">
      <c r="A20" s="41"/>
      <c r="B20" s="52"/>
      <c r="C20" s="41"/>
      <c r="D20" s="49">
        <v>2</v>
      </c>
      <c r="E20" s="49">
        <v>4</v>
      </c>
      <c r="F20" s="41"/>
      <c r="G20" s="41"/>
      <c r="H20" s="41"/>
      <c r="I20" s="41"/>
      <c r="J20" s="41"/>
      <c r="K20" s="41"/>
      <c r="L20" s="41"/>
      <c r="M20" s="41"/>
      <c r="N20" s="41"/>
      <c r="O20" s="41"/>
      <c r="P20" s="41"/>
      <c r="Q20" s="41"/>
      <c r="R20" s="41"/>
      <c r="S20" s="41"/>
      <c r="T20" s="41"/>
      <c r="U20" s="41"/>
      <c r="V20" s="41"/>
      <c r="W20" s="41"/>
      <c r="X20" s="41"/>
      <c r="Y20" s="41"/>
      <c r="Z20" s="41"/>
    </row>
    <row r="21" customHeight="1" spans="1:27">
      <c r="A21" s="41"/>
      <c r="B21" s="41"/>
      <c r="C21" s="41"/>
      <c r="D21" s="49">
        <v>3</v>
      </c>
      <c r="E21" s="49">
        <v>4</v>
      </c>
      <c r="F21" s="41"/>
      <c r="G21" s="41"/>
      <c r="H21" s="41"/>
      <c r="I21" s="41"/>
      <c r="J21" s="41"/>
      <c r="K21" s="41"/>
      <c r="L21" s="41"/>
      <c r="M21" s="41"/>
      <c r="N21" s="41"/>
      <c r="O21" s="41"/>
      <c r="P21" s="41"/>
      <c r="Q21" s="41"/>
      <c r="R21" s="41"/>
      <c r="S21" s="41"/>
      <c r="T21" s="41"/>
      <c r="U21" s="41"/>
      <c r="V21" s="41"/>
      <c r="W21" s="41"/>
      <c r="X21" s="41"/>
      <c r="Y21" s="41"/>
      <c r="Z21" s="41"/>
    </row>
    <row r="22" customHeight="1" spans="1:27">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7">
      <c r="A23" s="41"/>
      <c r="B23" s="41"/>
      <c r="C23" s="41"/>
      <c r="D23" s="47" t="s">
        <v>149</v>
      </c>
      <c r="E23" s="47" t="s">
        <v>150</v>
      </c>
      <c r="F23" s="47" t="s">
        <v>145</v>
      </c>
      <c r="G23" s="41"/>
      <c r="H23" s="41"/>
      <c r="I23" s="41"/>
      <c r="J23" s="41"/>
      <c r="K23" s="41"/>
      <c r="L23" s="41"/>
      <c r="M23" s="41"/>
      <c r="N23" s="41"/>
      <c r="O23" s="41"/>
      <c r="P23" s="41"/>
      <c r="Q23" s="41"/>
      <c r="R23" s="41"/>
      <c r="S23" s="41"/>
      <c r="T23" s="41"/>
      <c r="U23" s="41"/>
      <c r="V23" s="41"/>
      <c r="W23" s="41"/>
      <c r="X23" s="41"/>
      <c r="Y23" s="41"/>
      <c r="Z23" s="41"/>
      <c r="AA23" s="41"/>
    </row>
    <row r="24" spans="1:27">
      <c r="A24" s="41"/>
      <c r="B24" s="41"/>
      <c r="C24" s="41"/>
      <c r="D24" s="49">
        <v>1</v>
      </c>
      <c r="E24" s="49">
        <v>1</v>
      </c>
      <c r="F24" s="53">
        <f>E14/20</f>
        <v>125000</v>
      </c>
      <c r="G24" s="41"/>
      <c r="H24" s="41"/>
      <c r="I24" s="41"/>
      <c r="J24" s="41"/>
      <c r="K24" s="41"/>
      <c r="L24" s="41"/>
      <c r="M24" s="41"/>
      <c r="N24" s="41"/>
      <c r="O24" s="41"/>
      <c r="P24" s="41"/>
      <c r="Q24" s="41"/>
      <c r="R24" s="41"/>
      <c r="S24" s="41"/>
      <c r="T24" s="41"/>
      <c r="U24" s="41"/>
      <c r="V24" s="41"/>
      <c r="W24" s="41"/>
      <c r="X24" s="41"/>
      <c r="Y24" s="41"/>
      <c r="Z24" s="41"/>
    </row>
    <row r="25" spans="1:27">
      <c r="A25" s="41"/>
      <c r="B25" s="41"/>
      <c r="C25" s="41"/>
      <c r="D25" s="49">
        <v>2</v>
      </c>
      <c r="E25" s="49">
        <v>1</v>
      </c>
      <c r="F25" s="53">
        <f>E15/20</f>
        <v>125000</v>
      </c>
      <c r="G25" s="41"/>
      <c r="H25" s="41"/>
      <c r="I25" s="41"/>
      <c r="J25" s="41"/>
      <c r="K25" s="41"/>
      <c r="L25" s="41"/>
      <c r="M25" s="41"/>
      <c r="N25" s="41"/>
      <c r="O25" s="41"/>
      <c r="P25" s="41"/>
      <c r="Q25" s="41"/>
      <c r="R25" s="41"/>
      <c r="S25" s="41"/>
      <c r="T25" s="41"/>
      <c r="U25" s="41"/>
      <c r="V25" s="41"/>
      <c r="W25" s="41"/>
      <c r="X25" s="41"/>
      <c r="Y25" s="41"/>
      <c r="Z25" s="41"/>
    </row>
    <row r="26" spans="1:27">
      <c r="A26" s="41"/>
      <c r="B26" s="41"/>
      <c r="C26" s="41"/>
      <c r="D26" s="49">
        <v>3</v>
      </c>
      <c r="E26" s="49">
        <v>1</v>
      </c>
      <c r="F26" s="53">
        <f>E16/20</f>
        <v>125000</v>
      </c>
      <c r="G26" s="41"/>
      <c r="H26" s="41"/>
      <c r="I26" s="41"/>
      <c r="J26" s="41"/>
      <c r="K26" s="41"/>
      <c r="L26" s="41"/>
      <c r="M26" s="41"/>
      <c r="N26" s="41"/>
      <c r="O26" s="41"/>
      <c r="P26" s="41"/>
      <c r="Q26" s="41"/>
      <c r="R26" s="41"/>
      <c r="S26" s="41"/>
      <c r="T26" s="41"/>
      <c r="U26" s="41"/>
      <c r="V26" s="41"/>
      <c r="W26" s="41"/>
      <c r="X26" s="41"/>
      <c r="Y26" s="41"/>
      <c r="Z26" s="41"/>
    </row>
    <row r="27" spans="1:27">
      <c r="A27" s="41"/>
      <c r="B27" s="41"/>
      <c r="C27" s="41"/>
      <c r="D27" s="54"/>
      <c r="E27" s="54"/>
      <c r="F27" s="55"/>
      <c r="G27" s="41"/>
      <c r="H27" s="41"/>
      <c r="I27" s="41"/>
      <c r="J27" s="41"/>
      <c r="K27" s="41"/>
      <c r="L27" s="41"/>
      <c r="M27" s="41"/>
      <c r="N27" s="41"/>
      <c r="O27" s="41"/>
      <c r="P27" s="41"/>
      <c r="Q27" s="41"/>
      <c r="R27" s="41"/>
      <c r="S27" s="41"/>
      <c r="T27" s="41"/>
      <c r="U27" s="41"/>
      <c r="V27" s="41"/>
      <c r="W27" s="41"/>
      <c r="X27" s="41"/>
      <c r="Y27" s="41"/>
      <c r="Z27" s="41"/>
    </row>
    <row r="28" spans="1:27">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7">
      <c r="A29" s="41"/>
      <c r="B29" s="41"/>
      <c r="C29" s="41"/>
      <c r="D29" s="47" t="s">
        <v>149</v>
      </c>
      <c r="E29" s="47" t="s">
        <v>151</v>
      </c>
      <c r="F29" s="47" t="s">
        <v>145</v>
      </c>
      <c r="G29" s="41"/>
      <c r="H29" s="41"/>
      <c r="I29" s="41"/>
      <c r="J29" s="41"/>
      <c r="K29" s="41"/>
      <c r="L29" s="41"/>
      <c r="M29" s="41"/>
      <c r="N29" s="41"/>
      <c r="O29" s="41"/>
      <c r="P29" s="41"/>
      <c r="Q29" s="41"/>
      <c r="R29" s="41"/>
      <c r="S29" s="41"/>
      <c r="T29" s="41"/>
      <c r="U29" s="41"/>
      <c r="V29" s="41"/>
      <c r="W29" s="41"/>
      <c r="X29" s="41"/>
      <c r="Y29" s="41"/>
      <c r="Z29" s="41"/>
    </row>
    <row r="30" spans="1:27">
      <c r="A30" s="41"/>
      <c r="B30" s="41"/>
      <c r="C30" s="41"/>
      <c r="D30" s="49">
        <v>1</v>
      </c>
      <c r="E30" s="49">
        <v>2</v>
      </c>
      <c r="F30" s="53">
        <f>F24*E30</f>
        <v>250000</v>
      </c>
      <c r="G30" s="41"/>
      <c r="H30" s="41"/>
      <c r="I30" s="41"/>
      <c r="J30" s="41"/>
      <c r="K30" s="41"/>
      <c r="L30" s="41"/>
      <c r="M30" s="41"/>
      <c r="N30" s="41"/>
      <c r="O30" s="41"/>
      <c r="P30" s="41"/>
      <c r="Q30" s="41"/>
      <c r="R30" s="41"/>
      <c r="S30" s="41"/>
      <c r="T30" s="41"/>
      <c r="U30" s="41"/>
      <c r="V30" s="41"/>
      <c r="W30" s="41"/>
      <c r="X30" s="41"/>
      <c r="Y30" s="41"/>
      <c r="Z30" s="41"/>
    </row>
    <row r="31" spans="1:27">
      <c r="A31" s="41"/>
      <c r="B31" s="41"/>
      <c r="C31" s="41"/>
      <c r="D31" s="49">
        <v>2</v>
      </c>
      <c r="E31" s="49">
        <v>2</v>
      </c>
      <c r="F31" s="53">
        <f t="shared" ref="F31:F32" si="1">F25*E31</f>
        <v>250000</v>
      </c>
      <c r="G31" s="41"/>
      <c r="H31" s="41"/>
      <c r="I31" s="41"/>
      <c r="J31" s="41"/>
      <c r="K31" s="41"/>
      <c r="L31" s="41"/>
      <c r="M31" s="41"/>
      <c r="N31" s="41"/>
      <c r="O31" s="41"/>
      <c r="P31" s="41"/>
      <c r="Q31" s="41"/>
      <c r="R31" s="41"/>
      <c r="S31" s="41"/>
      <c r="T31" s="41"/>
      <c r="U31" s="41"/>
      <c r="V31" s="41"/>
      <c r="W31" s="41"/>
      <c r="X31" s="41"/>
      <c r="Y31" s="41"/>
      <c r="Z31" s="41"/>
    </row>
    <row r="32" spans="1:27">
      <c r="A32" s="41"/>
      <c r="B32" s="41"/>
      <c r="C32" s="41"/>
      <c r="D32" s="49">
        <v>3</v>
      </c>
      <c r="E32" s="49">
        <v>2</v>
      </c>
      <c r="F32" s="53">
        <f t="shared" si="1"/>
        <v>250000</v>
      </c>
      <c r="G32" s="41"/>
      <c r="H32" s="41"/>
      <c r="I32" s="41"/>
      <c r="J32" s="41"/>
      <c r="K32" s="41"/>
      <c r="L32" s="41"/>
      <c r="M32" s="41"/>
      <c r="N32" s="41"/>
      <c r="O32" s="41"/>
      <c r="P32" s="41"/>
      <c r="Q32" s="41"/>
      <c r="R32" s="41"/>
      <c r="S32" s="41"/>
      <c r="T32" s="41"/>
      <c r="U32" s="41"/>
      <c r="V32" s="41"/>
      <c r="W32" s="41"/>
      <c r="X32" s="41"/>
      <c r="Y32" s="41"/>
      <c r="Z32" s="41"/>
    </row>
    <row r="33" spans="1:26">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
    <mergeCell ref="B14:B15"/>
    <mergeCell ref="B18:B2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7"/>
  <sheetViews>
    <sheetView zoomScale="80" zoomScaleNormal="80" topLeftCell="B1" workbookViewId="0">
      <selection activeCell="C1" sqref="C1"/>
    </sheetView>
  </sheetViews>
  <sheetFormatPr defaultColWidth="12.5714285714286" defaultRowHeight="15.75" customHeight="1"/>
  <cols>
    <col min="1" max="1" width="20.1428571428571" style="1" customWidth="1"/>
    <col min="2" max="2" width="45.5714285714286" style="1" customWidth="1"/>
    <col min="3" max="3" width="85" style="1" customWidth="1"/>
    <col min="4" max="4" width="20.4285714285714" style="1" customWidth="1"/>
    <col min="5" max="5" width="24.8571428571429" style="1" customWidth="1"/>
    <col min="6" max="6" width="93.4285714285714" style="1" customWidth="1"/>
    <col min="7" max="16384" width="12.5714285714286" style="1"/>
  </cols>
  <sheetData>
    <row r="1" customHeight="1" spans="1:27">
      <c r="A1" s="2" t="s">
        <v>152</v>
      </c>
      <c r="B1" s="3" t="s">
        <v>153</v>
      </c>
      <c r="C1" s="4" t="s">
        <v>154</v>
      </c>
      <c r="D1" s="5"/>
      <c r="E1" s="6" t="s">
        <v>134</v>
      </c>
      <c r="F1" s="7"/>
      <c r="G1" s="7"/>
      <c r="H1" s="7"/>
      <c r="I1" s="7"/>
      <c r="J1" s="7"/>
      <c r="K1" s="7"/>
      <c r="L1" s="7"/>
      <c r="M1" s="7"/>
      <c r="N1" s="7"/>
      <c r="O1" s="7"/>
      <c r="P1" s="7"/>
      <c r="Q1" s="7"/>
      <c r="R1" s="7"/>
      <c r="S1" s="7"/>
      <c r="T1" s="7"/>
      <c r="U1" s="7"/>
      <c r="V1" s="7"/>
      <c r="W1" s="7"/>
      <c r="X1" s="7"/>
      <c r="Y1" s="7"/>
      <c r="Z1" s="7"/>
      <c r="AA1" s="7"/>
    </row>
    <row r="2" customHeight="1" spans="1:27">
      <c r="A2" s="8" t="s">
        <v>155</v>
      </c>
      <c r="B2" s="9" t="s">
        <v>156</v>
      </c>
      <c r="C2" s="10">
        <f>C34</f>
        <v>367000</v>
      </c>
      <c r="D2" s="11"/>
      <c r="E2" s="12">
        <f>C2*C11</f>
        <v>6606000</v>
      </c>
      <c r="F2" s="7"/>
      <c r="G2" s="7"/>
      <c r="H2" s="7"/>
      <c r="I2" s="7"/>
      <c r="J2" s="7"/>
      <c r="K2" s="7"/>
      <c r="L2" s="7"/>
      <c r="M2" s="7"/>
      <c r="N2" s="7"/>
      <c r="O2" s="7"/>
      <c r="P2" s="7"/>
      <c r="Q2" s="7"/>
      <c r="R2" s="7"/>
      <c r="S2" s="7"/>
      <c r="T2" s="7"/>
      <c r="U2" s="7"/>
      <c r="V2" s="7"/>
      <c r="W2" s="7"/>
      <c r="X2" s="7"/>
      <c r="Y2" s="7"/>
      <c r="Z2" s="7"/>
      <c r="AA2" s="7"/>
    </row>
    <row r="3" customHeight="1" spans="1:27">
      <c r="A3" s="13"/>
      <c r="B3" s="14"/>
      <c r="C3" s="10"/>
      <c r="D3" s="11"/>
      <c r="E3" s="12"/>
      <c r="F3" s="7"/>
      <c r="G3" s="7"/>
      <c r="H3" s="7"/>
      <c r="I3" s="7"/>
      <c r="J3" s="7"/>
      <c r="K3" s="7"/>
      <c r="L3" s="7"/>
      <c r="M3" s="7"/>
      <c r="N3" s="7"/>
      <c r="O3" s="7"/>
      <c r="P3" s="7"/>
      <c r="Q3" s="7"/>
      <c r="R3" s="7"/>
      <c r="S3" s="7"/>
      <c r="T3" s="7"/>
      <c r="U3" s="7"/>
      <c r="V3" s="7"/>
      <c r="W3" s="7"/>
      <c r="X3" s="7"/>
      <c r="Y3" s="7"/>
      <c r="Z3" s="7"/>
      <c r="AA3" s="7"/>
    </row>
    <row r="4" customHeight="1" spans="1:27">
      <c r="A4" s="15" t="s">
        <v>157</v>
      </c>
      <c r="B4" s="16" t="s">
        <v>158</v>
      </c>
      <c r="C4" s="17" t="s">
        <v>159</v>
      </c>
      <c r="D4" s="18"/>
      <c r="E4" s="12">
        <v>0</v>
      </c>
      <c r="F4" s="7"/>
      <c r="G4" s="7"/>
      <c r="H4" s="7"/>
      <c r="I4" s="7"/>
      <c r="J4" s="7"/>
      <c r="K4" s="7"/>
      <c r="L4" s="7"/>
      <c r="M4" s="7"/>
      <c r="N4" s="7"/>
      <c r="O4" s="7"/>
      <c r="P4" s="7"/>
      <c r="Q4" s="7"/>
      <c r="R4" s="7"/>
      <c r="S4" s="7"/>
      <c r="T4" s="7"/>
      <c r="U4" s="7"/>
      <c r="V4" s="7"/>
      <c r="W4" s="7"/>
      <c r="X4" s="7"/>
      <c r="Y4" s="7"/>
      <c r="Z4" s="7"/>
      <c r="AA4" s="7"/>
    </row>
    <row r="5" customHeight="1" spans="1:27">
      <c r="A5" s="19" t="s">
        <v>160</v>
      </c>
      <c r="B5" s="7" t="s">
        <v>124</v>
      </c>
      <c r="C5" s="7" t="s">
        <v>124</v>
      </c>
      <c r="D5" s="5"/>
      <c r="E5" s="20">
        <f>SUM(E2:E4)</f>
        <v>6606000</v>
      </c>
      <c r="F5" s="7"/>
      <c r="G5" s="7"/>
      <c r="H5" s="7"/>
      <c r="I5" s="7"/>
      <c r="J5" s="7"/>
      <c r="K5" s="7"/>
      <c r="L5" s="7"/>
      <c r="M5" s="7"/>
      <c r="N5" s="7"/>
      <c r="O5" s="7"/>
      <c r="P5" s="7"/>
      <c r="Q5" s="7"/>
      <c r="R5" s="7"/>
      <c r="S5" s="7"/>
      <c r="T5" s="7"/>
      <c r="U5" s="7"/>
      <c r="V5" s="7"/>
      <c r="W5" s="7"/>
      <c r="X5" s="7"/>
      <c r="Y5" s="7"/>
      <c r="Z5" s="7"/>
      <c r="AA5" s="7"/>
    </row>
    <row r="6" customHeight="1" spans="1:27">
      <c r="A6" s="7"/>
      <c r="B6" s="7"/>
      <c r="C6" s="7"/>
      <c r="D6" s="5"/>
      <c r="E6" s="7"/>
      <c r="F6" s="7"/>
      <c r="G6" s="7"/>
      <c r="H6" s="7"/>
      <c r="I6" s="7"/>
      <c r="J6" s="7"/>
      <c r="K6" s="7"/>
      <c r="L6" s="7"/>
      <c r="M6" s="7"/>
      <c r="N6" s="7"/>
      <c r="O6" s="7"/>
      <c r="P6" s="7"/>
      <c r="Q6" s="7"/>
      <c r="R6" s="7"/>
      <c r="S6" s="7"/>
      <c r="T6" s="7"/>
      <c r="U6" s="7"/>
      <c r="V6" s="7"/>
      <c r="W6" s="7"/>
      <c r="X6" s="7"/>
      <c r="Y6" s="7"/>
      <c r="Z6" s="7"/>
      <c r="AA6" s="7"/>
    </row>
    <row r="7" customHeight="1" spans="1:27">
      <c r="A7" s="7"/>
      <c r="B7" s="7"/>
      <c r="C7" s="7"/>
      <c r="D7" s="5"/>
      <c r="E7" s="7"/>
      <c r="F7" s="7"/>
      <c r="G7" s="7"/>
      <c r="H7" s="7"/>
      <c r="I7" s="7"/>
      <c r="J7" s="7"/>
      <c r="K7" s="7"/>
      <c r="L7" s="7"/>
      <c r="M7" s="7"/>
      <c r="N7" s="7"/>
      <c r="O7" s="7"/>
      <c r="P7" s="7"/>
      <c r="Q7" s="7"/>
      <c r="R7" s="7"/>
      <c r="S7" s="7"/>
      <c r="T7" s="7"/>
      <c r="U7" s="7"/>
      <c r="V7" s="7"/>
      <c r="W7" s="7"/>
      <c r="X7" s="7"/>
      <c r="Y7" s="7"/>
      <c r="Z7" s="7"/>
      <c r="AA7" s="7"/>
    </row>
    <row r="8" customHeight="1" spans="1:27">
      <c r="A8" s="7"/>
      <c r="B8" s="21"/>
      <c r="C8" s="7"/>
      <c r="D8" s="5"/>
      <c r="E8" s="7"/>
      <c r="F8" s="7"/>
      <c r="G8" s="7"/>
      <c r="H8" s="7"/>
      <c r="I8" s="7"/>
      <c r="J8" s="7"/>
      <c r="K8" s="7"/>
      <c r="L8" s="7"/>
      <c r="M8" s="7"/>
      <c r="N8" s="7"/>
      <c r="O8" s="7"/>
      <c r="P8" s="7"/>
      <c r="Q8" s="7"/>
      <c r="R8" s="7"/>
      <c r="S8" s="7"/>
      <c r="T8" s="7"/>
      <c r="U8" s="7"/>
      <c r="V8" s="7"/>
      <c r="W8" s="7"/>
      <c r="X8" s="7"/>
      <c r="Y8" s="7"/>
      <c r="Z8" s="7"/>
      <c r="AA8" s="7"/>
    </row>
    <row r="9" customHeight="1" spans="1:27">
      <c r="A9" s="7"/>
      <c r="B9" s="7"/>
      <c r="C9" s="7"/>
      <c r="D9" s="5"/>
      <c r="E9" s="7"/>
      <c r="F9" s="7"/>
      <c r="G9" s="7"/>
      <c r="H9" s="7"/>
      <c r="I9" s="7"/>
      <c r="J9" s="7"/>
      <c r="K9" s="7"/>
      <c r="L9" s="7"/>
      <c r="M9" s="7"/>
      <c r="N9" s="7"/>
      <c r="O9" s="7"/>
      <c r="P9" s="7"/>
      <c r="Q9" s="7"/>
      <c r="R9" s="7"/>
      <c r="S9" s="7"/>
      <c r="T9" s="7"/>
      <c r="U9" s="7"/>
      <c r="V9" s="7"/>
      <c r="W9" s="7"/>
      <c r="X9" s="7"/>
      <c r="Y9" s="7"/>
      <c r="Z9" s="7"/>
      <c r="AA9" s="7"/>
    </row>
    <row r="10" customHeight="1" spans="1:27">
      <c r="A10" s="7"/>
      <c r="B10" s="7"/>
      <c r="C10" s="22" t="s">
        <v>161</v>
      </c>
      <c r="D10" s="18"/>
      <c r="E10" s="7"/>
      <c r="F10" s="7"/>
      <c r="G10" s="7"/>
      <c r="H10" s="7"/>
      <c r="I10" s="7"/>
      <c r="J10" s="7"/>
      <c r="K10" s="7"/>
      <c r="L10" s="7"/>
      <c r="M10" s="7"/>
      <c r="N10" s="7"/>
      <c r="O10" s="7"/>
      <c r="P10" s="7"/>
      <c r="Q10" s="7"/>
      <c r="R10" s="7"/>
      <c r="S10" s="7"/>
      <c r="T10" s="7"/>
      <c r="U10" s="7"/>
      <c r="V10" s="7"/>
      <c r="W10" s="7"/>
      <c r="X10" s="7"/>
      <c r="Y10" s="7"/>
      <c r="Z10" s="7"/>
      <c r="AA10" s="7"/>
    </row>
    <row r="11" customHeight="1" spans="1:27">
      <c r="A11" s="7"/>
      <c r="B11" s="7"/>
      <c r="C11" s="23">
        <v>18</v>
      </c>
      <c r="D11" s="5"/>
      <c r="E11" s="7"/>
      <c r="F11" s="7"/>
      <c r="G11" s="7"/>
      <c r="H11" s="7"/>
      <c r="I11" s="7"/>
      <c r="J11" s="7"/>
      <c r="K11" s="7"/>
      <c r="L11" s="7"/>
      <c r="M11" s="7"/>
      <c r="N11" s="7"/>
      <c r="O11" s="7"/>
      <c r="P11" s="7"/>
      <c r="Q11" s="7"/>
      <c r="R11" s="7"/>
      <c r="S11" s="7"/>
      <c r="T11" s="7"/>
      <c r="U11" s="7"/>
      <c r="V11" s="7"/>
      <c r="W11" s="7"/>
      <c r="X11" s="7"/>
      <c r="Y11" s="7"/>
      <c r="Z11" s="7"/>
      <c r="AA11" s="7"/>
    </row>
    <row r="12" customHeight="1" spans="1:27">
      <c r="A12" s="7"/>
      <c r="B12" s="7"/>
      <c r="C12" s="7"/>
      <c r="D12" s="5"/>
      <c r="E12" s="22" t="s">
        <v>162</v>
      </c>
      <c r="F12" s="24" t="s">
        <v>163</v>
      </c>
      <c r="G12" s="7"/>
      <c r="H12" s="7"/>
      <c r="I12" s="7"/>
      <c r="J12" s="7"/>
      <c r="K12" s="7"/>
      <c r="L12" s="7"/>
      <c r="M12" s="7"/>
      <c r="N12" s="7"/>
      <c r="O12" s="7"/>
      <c r="P12" s="7"/>
      <c r="Q12" s="7"/>
      <c r="R12" s="7"/>
      <c r="S12" s="7"/>
      <c r="T12" s="7"/>
      <c r="U12" s="7"/>
      <c r="V12" s="7"/>
      <c r="W12" s="7"/>
      <c r="X12" s="7"/>
      <c r="Y12" s="7"/>
      <c r="Z12" s="7"/>
      <c r="AA12" s="7"/>
    </row>
    <row r="13" customHeight="1" spans="1:27">
      <c r="A13" s="7"/>
      <c r="B13" s="7"/>
      <c r="C13" s="7"/>
      <c r="D13" s="5"/>
      <c r="E13" s="22"/>
      <c r="F13" s="24"/>
      <c r="G13" s="7"/>
      <c r="H13" s="7"/>
      <c r="I13" s="7"/>
      <c r="J13" s="7"/>
      <c r="K13" s="7"/>
      <c r="L13" s="7"/>
      <c r="M13" s="7"/>
      <c r="N13" s="7"/>
      <c r="O13" s="7"/>
      <c r="P13" s="7"/>
      <c r="Q13" s="7"/>
      <c r="R13" s="7"/>
      <c r="S13" s="7"/>
      <c r="T13" s="7"/>
      <c r="U13" s="7"/>
      <c r="V13" s="7"/>
      <c r="W13" s="7"/>
      <c r="X13" s="7"/>
      <c r="Y13" s="7"/>
      <c r="Z13" s="7"/>
      <c r="AA13" s="7"/>
    </row>
    <row r="14" customHeight="1" spans="1:27">
      <c r="A14" s="7"/>
      <c r="B14" s="7"/>
      <c r="C14" s="7"/>
      <c r="D14" s="5"/>
      <c r="E14" s="22"/>
      <c r="F14" s="24"/>
      <c r="G14" s="7"/>
      <c r="H14" s="7"/>
      <c r="I14" s="7"/>
      <c r="J14" s="7"/>
      <c r="K14" s="7"/>
      <c r="L14" s="7"/>
      <c r="M14" s="7"/>
      <c r="N14" s="7"/>
      <c r="O14" s="7"/>
      <c r="P14" s="7"/>
      <c r="Q14" s="7"/>
      <c r="R14" s="7"/>
      <c r="S14" s="7"/>
      <c r="T14" s="7"/>
      <c r="U14" s="7"/>
      <c r="V14" s="7"/>
      <c r="W14" s="7"/>
      <c r="X14" s="7"/>
      <c r="Y14" s="7"/>
      <c r="Z14" s="7"/>
      <c r="AA14" s="7"/>
    </row>
    <row r="15" customHeight="1" spans="1:27">
      <c r="A15" s="7"/>
      <c r="B15" s="25" t="s">
        <v>164</v>
      </c>
      <c r="C15" s="25"/>
      <c r="D15" s="5"/>
      <c r="E15" s="22" t="s">
        <v>165</v>
      </c>
      <c r="F15" s="24" t="s">
        <v>166</v>
      </c>
      <c r="G15" s="7"/>
      <c r="H15" s="7"/>
      <c r="I15" s="7"/>
      <c r="J15" s="7"/>
      <c r="K15" s="7"/>
      <c r="L15" s="7"/>
      <c r="M15" s="7"/>
      <c r="N15" s="7"/>
      <c r="O15" s="7"/>
      <c r="P15" s="7"/>
      <c r="Q15" s="7"/>
      <c r="R15" s="7"/>
      <c r="S15" s="7"/>
      <c r="T15" s="7"/>
      <c r="U15" s="7"/>
      <c r="V15" s="7"/>
      <c r="W15" s="7"/>
      <c r="X15" s="7"/>
      <c r="Y15" s="7"/>
      <c r="Z15" s="7"/>
      <c r="AA15" s="7"/>
    </row>
    <row r="16" customHeight="1" spans="1:27">
      <c r="A16" s="7"/>
      <c r="B16" s="22" t="s">
        <v>167</v>
      </c>
      <c r="C16" s="22" t="s">
        <v>168</v>
      </c>
      <c r="D16" s="18"/>
      <c r="E16" s="22"/>
      <c r="F16" s="24"/>
      <c r="G16" s="7"/>
      <c r="H16" s="7"/>
      <c r="I16" s="7"/>
      <c r="J16" s="7"/>
      <c r="K16" s="7"/>
      <c r="L16" s="7"/>
      <c r="M16" s="7"/>
      <c r="N16" s="7"/>
      <c r="O16" s="7"/>
      <c r="P16" s="7"/>
      <c r="Q16" s="7"/>
      <c r="R16" s="7"/>
      <c r="S16" s="7"/>
      <c r="T16" s="7"/>
      <c r="U16" s="7"/>
      <c r="V16" s="7"/>
      <c r="W16" s="7"/>
      <c r="X16" s="7"/>
      <c r="Y16" s="7"/>
      <c r="Z16" s="7"/>
      <c r="AA16" s="7"/>
    </row>
    <row r="17" customHeight="1" spans="1:27">
      <c r="A17" s="26"/>
      <c r="B17" s="27" t="s">
        <v>169</v>
      </c>
      <c r="C17" s="28" t="s">
        <v>170</v>
      </c>
      <c r="D17" s="29"/>
      <c r="E17" s="22"/>
      <c r="F17" s="24"/>
      <c r="G17" s="7"/>
      <c r="H17" s="7"/>
      <c r="I17" s="7"/>
      <c r="J17" s="7"/>
      <c r="K17" s="7"/>
      <c r="L17" s="7"/>
      <c r="M17" s="7"/>
      <c r="N17" s="7"/>
      <c r="O17" s="7"/>
      <c r="P17" s="7"/>
      <c r="Q17" s="7"/>
      <c r="R17" s="7"/>
      <c r="S17" s="7"/>
      <c r="T17" s="7"/>
      <c r="U17" s="7"/>
      <c r="V17" s="7"/>
      <c r="W17" s="7"/>
      <c r="X17" s="7"/>
      <c r="Y17" s="7"/>
      <c r="Z17" s="7"/>
      <c r="AA17" s="7"/>
    </row>
    <row r="18" customHeight="1" spans="1:27">
      <c r="A18" s="26"/>
      <c r="B18" s="27"/>
      <c r="C18" s="28"/>
      <c r="D18" s="29"/>
      <c r="E18" s="22"/>
      <c r="F18" s="24"/>
      <c r="G18" s="7"/>
      <c r="H18" s="7"/>
      <c r="I18" s="7"/>
      <c r="J18" s="7"/>
      <c r="K18" s="7"/>
      <c r="L18" s="7"/>
      <c r="M18" s="7"/>
      <c r="N18" s="7"/>
      <c r="O18" s="7"/>
      <c r="P18" s="7"/>
      <c r="Q18" s="7"/>
      <c r="R18" s="7"/>
      <c r="S18" s="7"/>
      <c r="T18" s="7"/>
      <c r="U18" s="7"/>
      <c r="V18" s="7"/>
      <c r="W18" s="7"/>
      <c r="X18" s="7"/>
      <c r="Y18" s="7"/>
      <c r="Z18" s="7"/>
      <c r="AA18" s="7"/>
    </row>
    <row r="19" customHeight="1" spans="1:27">
      <c r="A19" s="26"/>
      <c r="B19" s="27"/>
      <c r="C19" s="28"/>
      <c r="D19" s="29"/>
      <c r="E19" s="22"/>
      <c r="F19" s="24"/>
      <c r="G19" s="7"/>
      <c r="H19" s="7"/>
      <c r="I19" s="7"/>
      <c r="J19" s="7"/>
      <c r="K19" s="7"/>
      <c r="L19" s="7"/>
      <c r="M19" s="7"/>
      <c r="N19" s="7"/>
      <c r="O19" s="7"/>
      <c r="P19" s="7"/>
      <c r="Q19" s="7"/>
      <c r="R19" s="7"/>
      <c r="S19" s="7"/>
      <c r="T19" s="7"/>
      <c r="U19" s="7"/>
      <c r="V19" s="7"/>
      <c r="W19" s="7"/>
      <c r="X19" s="7"/>
      <c r="Y19" s="7"/>
      <c r="Z19" s="7"/>
      <c r="AA19" s="7"/>
    </row>
    <row r="20" customHeight="1" spans="1:27">
      <c r="A20" s="7"/>
      <c r="B20" s="27" t="s">
        <v>171</v>
      </c>
      <c r="C20" s="24" t="s">
        <v>172</v>
      </c>
      <c r="D20" s="30"/>
      <c r="E20" s="7"/>
      <c r="F20" s="7"/>
      <c r="G20" s="7"/>
      <c r="H20" s="7"/>
      <c r="I20" s="7"/>
      <c r="J20" s="7"/>
      <c r="K20" s="7"/>
      <c r="L20" s="7"/>
      <c r="M20" s="7"/>
      <c r="N20" s="7"/>
      <c r="O20" s="7"/>
      <c r="P20" s="7"/>
      <c r="Q20" s="7"/>
      <c r="R20" s="7"/>
      <c r="S20" s="7"/>
      <c r="T20" s="7"/>
      <c r="U20" s="7"/>
      <c r="V20" s="7"/>
      <c r="W20" s="7"/>
      <c r="X20" s="7"/>
      <c r="Y20" s="7"/>
      <c r="Z20" s="7"/>
      <c r="AA20" s="7"/>
    </row>
    <row r="21" customHeight="1" spans="1:27">
      <c r="A21" s="7"/>
      <c r="B21" s="27"/>
      <c r="C21" s="31"/>
      <c r="D21" s="32"/>
      <c r="E21" s="7"/>
      <c r="F21" s="7"/>
      <c r="G21" s="7"/>
      <c r="H21" s="7"/>
      <c r="I21" s="7"/>
      <c r="J21" s="7"/>
      <c r="K21" s="7"/>
      <c r="L21" s="7"/>
      <c r="M21" s="7"/>
      <c r="N21" s="7"/>
      <c r="O21" s="7"/>
      <c r="P21" s="7"/>
      <c r="Q21" s="7"/>
      <c r="R21" s="7"/>
      <c r="S21" s="7"/>
      <c r="T21" s="7"/>
      <c r="U21" s="7"/>
      <c r="V21" s="7"/>
      <c r="W21" s="7"/>
      <c r="X21" s="7"/>
      <c r="Y21" s="7"/>
      <c r="Z21" s="7"/>
      <c r="AA21" s="7"/>
    </row>
    <row r="22" customHeight="1" spans="1:27">
      <c r="A22" s="7"/>
      <c r="B22" s="27"/>
      <c r="C22" s="31"/>
      <c r="D22" s="32"/>
      <c r="E22" s="7"/>
      <c r="F22" s="7"/>
      <c r="G22" s="7"/>
      <c r="H22" s="7"/>
      <c r="I22" s="7"/>
      <c r="J22" s="7"/>
      <c r="K22" s="7"/>
      <c r="L22" s="7"/>
      <c r="M22" s="7"/>
      <c r="N22" s="7"/>
      <c r="O22" s="7"/>
      <c r="P22" s="7"/>
      <c r="Q22" s="7"/>
      <c r="R22" s="7"/>
      <c r="S22" s="7"/>
      <c r="T22" s="7"/>
      <c r="U22" s="7"/>
      <c r="V22" s="7"/>
      <c r="W22" s="7"/>
      <c r="X22" s="7"/>
      <c r="Y22" s="7"/>
      <c r="Z22" s="7"/>
      <c r="AA22" s="7"/>
    </row>
    <row r="23" customHeight="1" spans="1:27">
      <c r="A23" s="7"/>
      <c r="B23" s="27" t="s">
        <v>173</v>
      </c>
      <c r="C23" s="24" t="s">
        <v>174</v>
      </c>
      <c r="D23" s="30"/>
      <c r="E23" s="7"/>
      <c r="F23" s="7"/>
      <c r="G23" s="7"/>
      <c r="H23" s="7"/>
      <c r="I23" s="7"/>
      <c r="J23" s="7"/>
      <c r="K23" s="7"/>
      <c r="L23" s="7"/>
      <c r="M23" s="7"/>
      <c r="N23" s="7"/>
      <c r="O23" s="7"/>
      <c r="P23" s="7"/>
      <c r="Q23" s="7"/>
      <c r="R23" s="7"/>
      <c r="S23" s="7"/>
      <c r="T23" s="7"/>
      <c r="U23" s="7"/>
      <c r="V23" s="7"/>
      <c r="W23" s="7"/>
      <c r="X23" s="7"/>
      <c r="Y23" s="7"/>
      <c r="Z23" s="7"/>
      <c r="AA23" s="7"/>
    </row>
    <row r="24" customHeight="1" spans="1:27">
      <c r="A24" s="7"/>
      <c r="B24" s="27"/>
      <c r="C24" s="31"/>
      <c r="D24" s="32"/>
      <c r="E24" s="7"/>
      <c r="F24" s="7"/>
      <c r="G24" s="7"/>
      <c r="H24" s="7"/>
      <c r="I24" s="7"/>
      <c r="J24" s="7"/>
      <c r="K24" s="7"/>
      <c r="L24" s="7"/>
      <c r="M24" s="7"/>
      <c r="N24" s="7"/>
      <c r="O24" s="7"/>
      <c r="P24" s="7"/>
      <c r="Q24" s="7"/>
      <c r="R24" s="7"/>
      <c r="S24" s="7"/>
      <c r="T24" s="7"/>
      <c r="U24" s="7"/>
      <c r="V24" s="7"/>
      <c r="W24" s="7"/>
      <c r="X24" s="7"/>
      <c r="Y24" s="7"/>
      <c r="Z24" s="7"/>
      <c r="AA24" s="7"/>
    </row>
    <row r="25" customHeight="1" spans="1:27">
      <c r="A25" s="7"/>
      <c r="B25" s="27"/>
      <c r="C25" s="31"/>
      <c r="D25" s="32"/>
      <c r="E25" s="7"/>
      <c r="F25" s="7"/>
      <c r="G25" s="7"/>
      <c r="H25" s="7"/>
      <c r="I25" s="7"/>
      <c r="J25" s="7"/>
      <c r="K25" s="7"/>
      <c r="L25" s="7"/>
      <c r="M25" s="7"/>
      <c r="N25" s="7"/>
      <c r="O25" s="7"/>
      <c r="P25" s="7"/>
      <c r="Q25" s="7"/>
      <c r="R25" s="7"/>
      <c r="S25" s="7"/>
      <c r="T25" s="7"/>
      <c r="U25" s="7"/>
      <c r="V25" s="7"/>
      <c r="W25" s="7"/>
      <c r="X25" s="7"/>
      <c r="Y25" s="7"/>
      <c r="Z25" s="7"/>
      <c r="AA25" s="7"/>
    </row>
    <row r="26" customHeight="1" spans="1:27">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ustomHeight="1" spans="1: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ustomHeight="1" spans="1:27">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c r="A29" s="7"/>
      <c r="B29" s="33" t="s">
        <v>175</v>
      </c>
      <c r="C29" s="34"/>
      <c r="D29" s="7"/>
      <c r="E29" s="7"/>
      <c r="F29" s="7"/>
      <c r="G29" s="7"/>
      <c r="H29" s="7"/>
      <c r="I29" s="7"/>
      <c r="J29" s="7"/>
      <c r="K29" s="7"/>
      <c r="L29" s="7"/>
      <c r="M29" s="7"/>
      <c r="N29" s="7"/>
      <c r="O29" s="7"/>
      <c r="P29" s="7"/>
      <c r="Q29" s="7"/>
      <c r="R29" s="7"/>
      <c r="S29" s="7"/>
      <c r="T29" s="7"/>
      <c r="U29" s="7"/>
      <c r="V29" s="7"/>
      <c r="W29" s="7"/>
      <c r="X29" s="7"/>
      <c r="Y29" s="7"/>
      <c r="Z29" s="7"/>
      <c r="AA29" s="7"/>
    </row>
    <row r="30" spans="1:27">
      <c r="A30" s="7"/>
      <c r="B30" s="35" t="s">
        <v>176</v>
      </c>
      <c r="C30" s="17" t="s">
        <v>177</v>
      </c>
      <c r="D30" s="7"/>
      <c r="E30" s="7"/>
      <c r="F30" s="7"/>
      <c r="G30" s="7"/>
      <c r="H30" s="7"/>
      <c r="I30" s="7"/>
      <c r="J30" s="7"/>
      <c r="K30" s="7"/>
      <c r="L30" s="7"/>
      <c r="M30" s="7"/>
      <c r="N30" s="7"/>
      <c r="O30" s="7"/>
      <c r="P30" s="7"/>
      <c r="Q30" s="7"/>
      <c r="R30" s="7"/>
      <c r="S30" s="7"/>
      <c r="T30" s="7"/>
      <c r="U30" s="7"/>
      <c r="V30" s="7"/>
      <c r="W30" s="7"/>
      <c r="X30" s="7"/>
      <c r="Y30" s="7"/>
      <c r="Z30" s="7"/>
      <c r="AA30" s="7"/>
    </row>
    <row r="31" spans="1:27">
      <c r="A31" s="7"/>
      <c r="B31" s="35" t="s">
        <v>143</v>
      </c>
      <c r="C31" s="36">
        <v>230000</v>
      </c>
      <c r="D31" s="7"/>
      <c r="E31" s="7"/>
      <c r="F31" s="7"/>
      <c r="G31" s="7"/>
      <c r="H31" s="7"/>
      <c r="I31" s="7"/>
      <c r="J31" s="7"/>
      <c r="K31" s="7"/>
      <c r="L31" s="7"/>
      <c r="M31" s="7"/>
      <c r="N31" s="7"/>
      <c r="O31" s="7"/>
      <c r="P31" s="7"/>
      <c r="Q31" s="7"/>
      <c r="R31" s="7"/>
      <c r="S31" s="7"/>
      <c r="T31" s="7"/>
      <c r="U31" s="7"/>
      <c r="V31" s="7"/>
      <c r="W31" s="7"/>
      <c r="X31" s="7"/>
      <c r="Y31" s="7"/>
      <c r="Z31" s="7"/>
      <c r="AA31" s="7"/>
    </row>
    <row r="32" spans="1:27">
      <c r="A32" s="7"/>
      <c r="B32" s="35" t="s">
        <v>176</v>
      </c>
      <c r="C32" s="17" t="s">
        <v>178</v>
      </c>
      <c r="D32" s="7"/>
      <c r="E32" s="7"/>
      <c r="F32" s="7"/>
      <c r="G32" s="7"/>
      <c r="H32" s="7"/>
      <c r="I32" s="7"/>
      <c r="J32" s="7"/>
      <c r="K32" s="7"/>
      <c r="L32" s="7"/>
      <c r="M32" s="7"/>
      <c r="N32" s="7"/>
      <c r="O32" s="7"/>
      <c r="P32" s="7"/>
      <c r="Q32" s="7"/>
      <c r="R32" s="7"/>
      <c r="S32" s="7"/>
      <c r="T32" s="7"/>
      <c r="U32" s="7"/>
      <c r="V32" s="7"/>
      <c r="W32" s="7"/>
      <c r="X32" s="7"/>
      <c r="Y32" s="7"/>
      <c r="Z32" s="7"/>
      <c r="AA32" s="7"/>
    </row>
    <row r="33" spans="1:27">
      <c r="A33" s="7"/>
      <c r="B33" s="35" t="s">
        <v>143</v>
      </c>
      <c r="C33" s="12">
        <v>137000</v>
      </c>
      <c r="D33" s="7"/>
      <c r="E33" s="7"/>
      <c r="F33" s="7"/>
      <c r="G33" s="7"/>
      <c r="H33" s="7"/>
      <c r="I33" s="7"/>
      <c r="J33" s="7"/>
      <c r="K33" s="7"/>
      <c r="L33" s="7"/>
      <c r="M33" s="7"/>
      <c r="N33" s="7"/>
      <c r="O33" s="7"/>
      <c r="P33" s="7"/>
      <c r="Q33" s="7"/>
      <c r="R33" s="7"/>
      <c r="S33" s="7"/>
      <c r="T33" s="7"/>
      <c r="U33" s="7"/>
      <c r="V33" s="7"/>
      <c r="W33" s="7"/>
      <c r="X33" s="7"/>
      <c r="Y33" s="7"/>
      <c r="Z33" s="7"/>
      <c r="AA33" s="7"/>
    </row>
    <row r="34" spans="1:27">
      <c r="A34" s="7"/>
      <c r="B34" s="37" t="s">
        <v>179</v>
      </c>
      <c r="C34" s="20">
        <f>C31+C33</f>
        <v>367000</v>
      </c>
      <c r="D34" s="7"/>
      <c r="E34" s="7"/>
      <c r="F34" s="7"/>
      <c r="G34" s="7"/>
      <c r="H34" s="7"/>
      <c r="I34" s="7"/>
      <c r="J34" s="7"/>
      <c r="K34" s="7"/>
      <c r="L34" s="7"/>
      <c r="M34" s="7"/>
      <c r="N34" s="7"/>
      <c r="O34" s="7"/>
      <c r="P34" s="7"/>
      <c r="Q34" s="7"/>
      <c r="R34" s="7"/>
      <c r="S34" s="7"/>
      <c r="T34" s="7"/>
      <c r="U34" s="7"/>
      <c r="V34" s="7"/>
      <c r="W34" s="7"/>
      <c r="X34" s="7"/>
      <c r="Y34" s="7"/>
      <c r="Z34" s="7"/>
      <c r="AA34" s="7"/>
    </row>
    <row r="35" spans="1:27">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spans="1:27">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spans="1:27">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spans="1:2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sheetData>
  <mergeCells count="16">
    <mergeCell ref="B15:C15"/>
    <mergeCell ref="B29:C29"/>
    <mergeCell ref="A2:A3"/>
    <mergeCell ref="B2:B3"/>
    <mergeCell ref="B17:B19"/>
    <mergeCell ref="B20:B22"/>
    <mergeCell ref="B23:B25"/>
    <mergeCell ref="C2:C3"/>
    <mergeCell ref="C17:C19"/>
    <mergeCell ref="C20:C22"/>
    <mergeCell ref="C23:C25"/>
    <mergeCell ref="E2:E3"/>
    <mergeCell ref="E12:E14"/>
    <mergeCell ref="E15:E19"/>
    <mergeCell ref="F12:F14"/>
    <mergeCell ref="F15:F1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Presupuesto Total del Proyecto</vt:lpstr>
      <vt:lpstr>Planeación.</vt:lpstr>
      <vt:lpstr>Gastos Administrativos.</vt:lpstr>
      <vt:lpstr>Recursos Humanos.</vt:lpstr>
      <vt:lpstr>Hadware.</vt:lpstr>
      <vt:lpstr>Software.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Aprendiz</cp:lastModifiedBy>
  <dcterms:created xsi:type="dcterms:W3CDTF">2026-06-26T19:15:00Z</dcterms:created>
  <dcterms:modified xsi:type="dcterms:W3CDTF">2026-08-24T23:35:10Z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1CBB1C5A3AAE4E4997042A777EE139D2_12</vt:lpwstr>
  </property>
  <property fmtid="{D5CDD505-2E9C-101B-9397-08002B2CF9AE}" pid="3" name="KSOProductBuildVer">
    <vt:lpwstr>2058-12.1.0.28032</vt:lpwstr>
  </property>
  <property fmtid="{D5CDD505-2E9C-101B-9397-08002B2CF9AE}" pid="4" name="CalculationRule">
    <vt:i4>0</vt:i4>
  </property>
</Properties>
</file>
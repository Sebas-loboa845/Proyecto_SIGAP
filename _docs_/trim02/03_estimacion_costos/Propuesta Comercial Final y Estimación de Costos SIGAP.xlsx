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." sheetId="1" r:id="rId5"/>
    <sheet state="visible" name="Costo Total del Proyecto." sheetId="2" r:id="rId6"/>
    <sheet state="visible" name="Planeación." sheetId="3" r:id="rId7"/>
    <sheet state="visible" name="Pagos Profesionales." sheetId="4" r:id="rId8"/>
    <sheet state="visible" name="Hadware y Software." sheetId="5" r:id="rId9"/>
    <sheet state="visible" name="Gastos Administrativos." sheetId="6" r:id="rId10"/>
  </sheets>
  <definedNames/>
  <calcPr/>
</workbook>
</file>

<file path=xl/sharedStrings.xml><?xml version="1.0" encoding="utf-8"?>
<sst xmlns="http://schemas.openxmlformats.org/spreadsheetml/2006/main" count="173" uniqueCount="131">
  <si>
    <t>Dato General</t>
  </si>
  <si>
    <t>Detalle</t>
  </si>
  <si>
    <t>Nombre del Proyecto</t>
  </si>
  <si>
    <t>Sistema de Información de Gestión Administrativa y Procesos (SIGAP)</t>
  </si>
  <si>
    <t>Duración</t>
  </si>
  <si>
    <t>10 meses</t>
  </si>
  <si>
    <t>Fecha de Inicio</t>
  </si>
  <si>
    <t>06 de febrero de 2026</t>
  </si>
  <si>
    <t>Fecha de Fin</t>
  </si>
  <si>
    <t>12 de diciembre de 2026</t>
  </si>
  <si>
    <t>Metodología</t>
  </si>
  <si>
    <t>Híbrida: Cascada para requisitos/modelado y Scrum para construcción de módulos</t>
  </si>
  <si>
    <t>Concepto</t>
  </si>
  <si>
    <t>Valor (COP)</t>
  </si>
  <si>
    <t>Total Pagos Profesionales</t>
  </si>
  <si>
    <t>Total Recursos Tecnológicos</t>
  </si>
  <si>
    <t>Total Gastos Administrativos</t>
  </si>
  <si>
    <t xml:space="preserve">Margen de Utilidad Proyectado </t>
  </si>
  <si>
    <t>VALOR TOTAL DEL PROYECTO</t>
  </si>
  <si>
    <t>Ítem</t>
  </si>
  <si>
    <t>Fase</t>
  </si>
  <si>
    <t>Actividad Principal</t>
  </si>
  <si>
    <t>Responsable</t>
  </si>
  <si>
    <t>Fecha Inicio</t>
  </si>
  <si>
    <t>Fecha Fin</t>
  </si>
  <si>
    <t>1.1</t>
  </si>
  <si>
    <t>Especificación</t>
  </si>
  <si>
    <t>Analizar necesidades del cliente y recolección de datos</t>
  </si>
  <si>
    <t>Analista</t>
  </si>
  <si>
    <t>06/02/2026</t>
  </si>
  <si>
    <t>06/03/2026</t>
  </si>
  <si>
    <t>1.2</t>
  </si>
  <si>
    <t>Elaborar el Diagrama de Procesos de Negocio</t>
  </si>
  <si>
    <t>07/03/2026</t>
  </si>
  <si>
    <t>16/03/2026</t>
  </si>
  <si>
    <t>1.3</t>
  </si>
  <si>
    <t>Elaborar el Informe de Requisitos (IEEE-830)</t>
  </si>
  <si>
    <t>17/03/2026</t>
  </si>
  <si>
    <t>27/03/2026</t>
  </si>
  <si>
    <t>2.1</t>
  </si>
  <si>
    <t>Análisis</t>
  </si>
  <si>
    <t>Diagramación de Casos de Uso del Sistema</t>
  </si>
  <si>
    <t>28/03/2026</t>
  </si>
  <si>
    <t>05/04/2026</t>
  </si>
  <si>
    <t>2.2</t>
  </si>
  <si>
    <t>Generación de Plantillas de Casos de Uso Extendido</t>
  </si>
  <si>
    <t>06/04/2026</t>
  </si>
  <si>
    <t>16/04/2026</t>
  </si>
  <si>
    <t>2.3</t>
  </si>
  <si>
    <t>Consolidación del Informe Técnico de Análisis</t>
  </si>
  <si>
    <t>17/04/2026</t>
  </si>
  <si>
    <t>18/04/2026</t>
  </si>
  <si>
    <t>3.1</t>
  </si>
  <si>
    <t>Modelado</t>
  </si>
  <si>
    <t>Elaboración del Modelo Entidad Relación (MER)</t>
  </si>
  <si>
    <t>Arquitecto</t>
  </si>
  <si>
    <t>19/04/2026</t>
  </si>
  <si>
    <t>30/04/2026</t>
  </si>
  <si>
    <t>3.2</t>
  </si>
  <si>
    <t>Diseño de Arquitectura en Capas y Escalabilidad</t>
  </si>
  <si>
    <t>01/05/2026</t>
  </si>
  <si>
    <t>31/05/2026</t>
  </si>
  <si>
    <t>4.1</t>
  </si>
  <si>
    <t>Construcción</t>
  </si>
  <si>
    <t>Desarrollo de Sprints (Módulos Usuarios, Suministros, Ventas)</t>
  </si>
  <si>
    <t>Desarrollador Senior</t>
  </si>
  <si>
    <t>01/06/2026</t>
  </si>
  <si>
    <t>15/10/2026</t>
  </si>
  <si>
    <t>5.1</t>
  </si>
  <si>
    <t>Calidad</t>
  </si>
  <si>
    <t>Ciclo de Pruebas Unitarias e Integración</t>
  </si>
  <si>
    <t>QA / Tester</t>
  </si>
  <si>
    <t>16/10/2026</t>
  </si>
  <si>
    <t>15/11/2026</t>
  </si>
  <si>
    <t>6.1</t>
  </si>
  <si>
    <t>Cierre</t>
  </si>
  <si>
    <t>Despliegue en Producción y Capacitación Final</t>
  </si>
  <si>
    <t>Gerente Proyecto</t>
  </si>
  <si>
    <t>16/11/2026</t>
  </si>
  <si>
    <t>12/12/2026</t>
  </si>
  <si>
    <t>Profesional</t>
  </si>
  <si>
    <t>Cantidad</t>
  </si>
  <si>
    <t>Salario Mensual</t>
  </si>
  <si>
    <t>V/DIA</t>
  </si>
  <si>
    <t>V/HORA</t>
  </si>
  <si>
    <t>Días</t>
  </si>
  <si>
    <t>Salario Real (Parcial)</t>
  </si>
  <si>
    <t>Gerente de Proyecto</t>
  </si>
  <si>
    <t>1</t>
  </si>
  <si>
    <t>150</t>
  </si>
  <si>
    <t>Arquitecto de Software</t>
  </si>
  <si>
    <t>60</t>
  </si>
  <si>
    <t>3.3</t>
  </si>
  <si>
    <t>Analista de Requisitos</t>
  </si>
  <si>
    <t>120</t>
  </si>
  <si>
    <t>3.4</t>
  </si>
  <si>
    <t>210</t>
  </si>
  <si>
    <t>3.5</t>
  </si>
  <si>
    <t>75</t>
  </si>
  <si>
    <t>TOTAL</t>
  </si>
  <si>
    <t>Pagos Profesionales.</t>
  </si>
  <si>
    <t/>
  </si>
  <si>
    <t>615</t>
  </si>
  <si>
    <t>Descripción</t>
  </si>
  <si>
    <t>Valor Unitario</t>
  </si>
  <si>
    <t>Valor Total</t>
  </si>
  <si>
    <t>Depreciación Hardware</t>
  </si>
  <si>
    <t>5</t>
  </si>
  <si>
    <t>4.1.1</t>
  </si>
  <si>
    <t>PCs Gama Alta (Depreciación 10 meses / 24 meses vida útil)</t>
  </si>
  <si>
    <t>4.2</t>
  </si>
  <si>
    <t>Cloud Hosting</t>
  </si>
  <si>
    <t>2CPU, 4GB RAM, 50GB</t>
  </si>
  <si>
    <t>4.2.1</t>
  </si>
  <si>
    <t>Instancias AWS/Azure (Capacidad Transaccional 24/7)</t>
  </si>
  <si>
    <t>4.3</t>
  </si>
  <si>
    <t>Software y Seguridad</t>
  </si>
  <si>
    <t>4.3.1</t>
  </si>
  <si>
    <t>Certificados Digitales SSL (Protocolo HTTPS)</t>
  </si>
  <si>
    <t>Hadware y Software.</t>
  </si>
  <si>
    <t>Cantidad (Meses)</t>
  </si>
  <si>
    <t>Valor Mensual</t>
  </si>
  <si>
    <t>Soporte de Operaciones Remotas / Proportional Office Share</t>
  </si>
  <si>
    <t>10</t>
  </si>
  <si>
    <t>5.2</t>
  </si>
  <si>
    <t>Servicios Públicos (Conectividad Fibra Óptica, Luz, Agua)</t>
  </si>
  <si>
    <t>5.3</t>
  </si>
  <si>
    <t>Papelería, Suministros e Insumos Administrativos</t>
  </si>
  <si>
    <t>Gastos Administrativos</t>
  </si>
  <si>
    <t>Margen Bruto.</t>
  </si>
  <si>
    <t>Margen Neto.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</si>
</sst>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horizontal="center" readingOrder="0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quotePrefix="1" borderId="1" fillId="0" fontId="1" numFmtId="0" xfId="0" applyAlignment="1" applyBorder="1" applyFont="1">
      <alignment horizontal="center"/>
    </xf>
    <xf borderId="1" fillId="9" fontId="1" numFmtId="0" xfId="0" applyBorder="1" applyFill="1" applyFont="1"/>
    <xf borderId="0" fillId="0" fontId="1" numFmtId="0" xfId="0" applyFont="1"/>
    <xf quotePrefix="1" borderId="1" fillId="0" fontId="1" numFmtId="0" xfId="0" applyBorder="1" applyFont="1"/>
    <xf borderId="1" fillId="0" fontId="1" numFmtId="0" xfId="0" applyBorder="1" applyFont="1"/>
    <xf borderId="1" fillId="0" fontId="1" numFmtId="3" xfId="0" applyAlignment="1" applyBorder="1" applyFont="1" applyNumberFormat="1">
      <alignment readingOrder="0"/>
    </xf>
    <xf borderId="1" fillId="10" fontId="1" numFmtId="0" xfId="0" applyBorder="1" applyFill="1" applyFont="1"/>
    <xf borderId="1" fillId="0" fontId="1" numFmtId="3" xfId="0" applyBorder="1" applyFont="1" applyNumberFormat="1"/>
    <xf borderId="1" fillId="11" fontId="1" numFmtId="0" xfId="0" applyBorder="1" applyFill="1" applyFont="1"/>
    <xf borderId="1" fillId="12" fontId="1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67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1.0"/>
  </cols>
  <sheetData>
    <row r="1">
      <c r="A1" s="5" t="s">
        <v>12</v>
      </c>
      <c r="B1" s="5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14</v>
      </c>
      <c r="B2" s="7">
        <v>4.0725E7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8">
        <v>9350000.0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16</v>
      </c>
      <c r="B4" s="6">
        <v>1000000.0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17</v>
      </c>
      <c r="B5" s="8">
        <v>2.74729733E8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4">
        <f>SUM(B2:B5)</f>
        <v>325804733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51.5"/>
    <col customWidth="1" min="4" max="4" width="17.75"/>
  </cols>
  <sheetData>
    <row r="1">
      <c r="A1" s="9" t="s">
        <v>19</v>
      </c>
      <c r="B1" s="10" t="s">
        <v>20</v>
      </c>
      <c r="C1" s="11" t="s">
        <v>21</v>
      </c>
      <c r="D1" s="2" t="s">
        <v>22</v>
      </c>
      <c r="E1" s="12" t="s">
        <v>23</v>
      </c>
      <c r="F1" s="10" t="s">
        <v>24</v>
      </c>
    </row>
    <row r="2">
      <c r="A2" s="13" t="s">
        <v>25</v>
      </c>
      <c r="B2" s="4" t="s">
        <v>26</v>
      </c>
      <c r="C2" s="4" t="s">
        <v>27</v>
      </c>
      <c r="D2" s="4" t="s">
        <v>28</v>
      </c>
      <c r="E2" s="13" t="s">
        <v>29</v>
      </c>
      <c r="F2" s="13" t="s">
        <v>30</v>
      </c>
    </row>
    <row r="3">
      <c r="A3" s="13" t="s">
        <v>31</v>
      </c>
      <c r="B3" s="4" t="s">
        <v>26</v>
      </c>
      <c r="C3" s="4" t="s">
        <v>32</v>
      </c>
      <c r="D3" s="4" t="s">
        <v>28</v>
      </c>
      <c r="E3" s="13" t="s">
        <v>33</v>
      </c>
      <c r="F3" s="4" t="s">
        <v>34</v>
      </c>
    </row>
    <row r="4">
      <c r="A4" s="13" t="s">
        <v>35</v>
      </c>
      <c r="B4" s="4" t="s">
        <v>26</v>
      </c>
      <c r="C4" s="4" t="s">
        <v>36</v>
      </c>
      <c r="D4" s="4" t="s">
        <v>28</v>
      </c>
      <c r="E4" s="4" t="s">
        <v>37</v>
      </c>
      <c r="F4" s="4" t="s">
        <v>38</v>
      </c>
    </row>
    <row r="5">
      <c r="A5" s="13" t="s">
        <v>39</v>
      </c>
      <c r="B5" s="4" t="s">
        <v>40</v>
      </c>
      <c r="C5" s="4" t="s">
        <v>41</v>
      </c>
      <c r="D5" s="4" t="s">
        <v>28</v>
      </c>
      <c r="E5" s="4" t="s">
        <v>42</v>
      </c>
      <c r="F5" s="13" t="s">
        <v>43</v>
      </c>
    </row>
    <row r="6">
      <c r="A6" s="13" t="s">
        <v>44</v>
      </c>
      <c r="B6" s="4" t="s">
        <v>40</v>
      </c>
      <c r="C6" s="4" t="s">
        <v>45</v>
      </c>
      <c r="D6" s="4" t="s">
        <v>28</v>
      </c>
      <c r="E6" s="13" t="s">
        <v>46</v>
      </c>
      <c r="F6" s="4" t="s">
        <v>47</v>
      </c>
    </row>
    <row r="7">
      <c r="A7" s="13" t="s">
        <v>48</v>
      </c>
      <c r="B7" s="4" t="s">
        <v>40</v>
      </c>
      <c r="C7" s="4" t="s">
        <v>49</v>
      </c>
      <c r="D7" s="4" t="s">
        <v>28</v>
      </c>
      <c r="E7" s="4" t="s">
        <v>50</v>
      </c>
      <c r="F7" s="4" t="s">
        <v>51</v>
      </c>
    </row>
    <row r="8">
      <c r="A8" s="1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</row>
    <row r="9">
      <c r="A9" s="13" t="s">
        <v>58</v>
      </c>
      <c r="B9" s="4" t="s">
        <v>53</v>
      </c>
      <c r="C9" s="4" t="s">
        <v>59</v>
      </c>
      <c r="D9" s="4" t="s">
        <v>55</v>
      </c>
      <c r="E9" s="13" t="s">
        <v>60</v>
      </c>
      <c r="F9" s="4" t="s">
        <v>61</v>
      </c>
    </row>
    <row r="10">
      <c r="A10" s="13" t="s">
        <v>62</v>
      </c>
      <c r="B10" s="4" t="s">
        <v>63</v>
      </c>
      <c r="C10" s="4" t="s">
        <v>64</v>
      </c>
      <c r="D10" s="4" t="s">
        <v>65</v>
      </c>
      <c r="E10" s="13" t="s">
        <v>66</v>
      </c>
      <c r="F10" s="4" t="s">
        <v>67</v>
      </c>
    </row>
    <row r="11">
      <c r="A11" s="13" t="s">
        <v>68</v>
      </c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</row>
    <row r="12">
      <c r="A12" s="13" t="s">
        <v>74</v>
      </c>
      <c r="B12" s="4" t="s">
        <v>75</v>
      </c>
      <c r="C12" s="4" t="s">
        <v>76</v>
      </c>
      <c r="D12" s="4" t="s">
        <v>77</v>
      </c>
      <c r="E12" s="4" t="s">
        <v>78</v>
      </c>
      <c r="F12" s="13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9.63"/>
    <col customWidth="1" min="3" max="3" width="8.25"/>
    <col customWidth="1" min="4" max="4" width="14.0"/>
    <col customWidth="1" min="5" max="5" width="8.5"/>
    <col customWidth="1" min="6" max="6" width="8.63"/>
    <col customWidth="1" min="7" max="7" width="4.63"/>
    <col customWidth="1" min="8" max="8" width="18.25"/>
  </cols>
  <sheetData>
    <row r="1">
      <c r="A1" s="14" t="s">
        <v>19</v>
      </c>
      <c r="B1" s="14" t="s">
        <v>80</v>
      </c>
      <c r="C1" s="14" t="s">
        <v>81</v>
      </c>
      <c r="D1" s="14" t="s">
        <v>82</v>
      </c>
      <c r="E1" s="14" t="s">
        <v>83</v>
      </c>
      <c r="F1" s="14" t="s">
        <v>84</v>
      </c>
      <c r="G1" s="14" t="s">
        <v>85</v>
      </c>
      <c r="H1" s="14" t="s">
        <v>86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52</v>
      </c>
      <c r="B2" s="17" t="s">
        <v>87</v>
      </c>
      <c r="C2" s="16" t="s">
        <v>88</v>
      </c>
      <c r="D2" s="18">
        <v>8000000.0</v>
      </c>
      <c r="E2" s="18">
        <f t="shared" ref="E2:E6" si="1">D2/G2</f>
        <v>53333.33333</v>
      </c>
      <c r="F2" s="18">
        <f t="shared" ref="F2:F6" si="2">D2/220</f>
        <v>36363.63636</v>
      </c>
      <c r="G2" s="16" t="s">
        <v>89</v>
      </c>
      <c r="H2" s="17">
        <f t="shared" ref="H2:H6" si="3">D2*G2</f>
        <v>1200000000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58</v>
      </c>
      <c r="B3" s="17" t="s">
        <v>90</v>
      </c>
      <c r="C3" s="16" t="s">
        <v>88</v>
      </c>
      <c r="D3" s="18">
        <v>7500000.0</v>
      </c>
      <c r="E3" s="18">
        <f t="shared" si="1"/>
        <v>125000</v>
      </c>
      <c r="F3" s="18">
        <f t="shared" si="2"/>
        <v>34090.90909</v>
      </c>
      <c r="G3" s="16" t="s">
        <v>91</v>
      </c>
      <c r="H3" s="17">
        <f t="shared" si="3"/>
        <v>450000000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92</v>
      </c>
      <c r="B4" s="17" t="s">
        <v>93</v>
      </c>
      <c r="C4" s="16" t="s">
        <v>88</v>
      </c>
      <c r="D4" s="18">
        <v>6000000.0</v>
      </c>
      <c r="E4" s="18">
        <f t="shared" si="1"/>
        <v>50000</v>
      </c>
      <c r="F4" s="18">
        <f t="shared" si="2"/>
        <v>27272.72727</v>
      </c>
      <c r="G4" s="16" t="s">
        <v>94</v>
      </c>
      <c r="H4" s="17">
        <f t="shared" si="3"/>
        <v>720000000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">
        <v>95</v>
      </c>
      <c r="B5" s="17" t="s">
        <v>65</v>
      </c>
      <c r="C5" s="16" t="s">
        <v>88</v>
      </c>
      <c r="D5" s="18">
        <v>6500000.0</v>
      </c>
      <c r="E5" s="18">
        <f t="shared" si="1"/>
        <v>30952.38095</v>
      </c>
      <c r="F5" s="18">
        <f t="shared" si="2"/>
        <v>29545.45455</v>
      </c>
      <c r="G5" s="16" t="s">
        <v>96</v>
      </c>
      <c r="H5" s="17">
        <f t="shared" si="3"/>
        <v>1365000000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">
        <v>97</v>
      </c>
      <c r="B6" s="17" t="s">
        <v>71</v>
      </c>
      <c r="C6" s="16" t="s">
        <v>88</v>
      </c>
      <c r="D6" s="18">
        <v>4500000.0</v>
      </c>
      <c r="E6" s="18">
        <f t="shared" si="1"/>
        <v>60000</v>
      </c>
      <c r="F6" s="18">
        <f t="shared" si="2"/>
        <v>20454.54545</v>
      </c>
      <c r="G6" s="16" t="s">
        <v>98</v>
      </c>
      <c r="H6" s="17">
        <f t="shared" si="3"/>
        <v>337500000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7" t="s">
        <v>99</v>
      </c>
      <c r="B7" s="7" t="s">
        <v>100</v>
      </c>
      <c r="C7" s="15" t="s">
        <v>101</v>
      </c>
      <c r="D7" s="15" t="s">
        <v>101</v>
      </c>
      <c r="E7" s="15" t="s">
        <v>101</v>
      </c>
      <c r="F7" s="15" t="s">
        <v>101</v>
      </c>
      <c r="G7" s="16" t="s">
        <v>102</v>
      </c>
      <c r="H7" s="17">
        <f>SUM(H2:H6)</f>
        <v>4072500000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49.88"/>
    <col customWidth="1" min="3" max="3" width="21.5"/>
    <col customWidth="1" min="4" max="4" width="12.5"/>
    <col customWidth="1" min="5" max="5" width="11.0"/>
  </cols>
  <sheetData>
    <row r="1">
      <c r="A1" s="19" t="s">
        <v>19</v>
      </c>
      <c r="B1" s="19" t="s">
        <v>103</v>
      </c>
      <c r="C1" s="19" t="s">
        <v>81</v>
      </c>
      <c r="D1" s="19" t="s">
        <v>104</v>
      </c>
      <c r="E1" s="19" t="s">
        <v>105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62</v>
      </c>
      <c r="B2" s="17" t="s">
        <v>106</v>
      </c>
      <c r="C2" s="16" t="s">
        <v>107</v>
      </c>
      <c r="D2" s="17">
        <f t="shared" ref="D2:D3" si="1">(2500000-750000)/1</f>
        <v>1750000</v>
      </c>
      <c r="E2" s="17">
        <f t="shared" ref="E2:E3" si="2">C2*D2</f>
        <v>8750000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 t="s">
        <v>108</v>
      </c>
      <c r="B3" s="17" t="s">
        <v>109</v>
      </c>
      <c r="C3" s="16" t="s">
        <v>107</v>
      </c>
      <c r="D3" s="17">
        <f t="shared" si="1"/>
        <v>1750000</v>
      </c>
      <c r="E3" s="17">
        <f t="shared" si="2"/>
        <v>8750000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110</v>
      </c>
      <c r="B4" s="17" t="s">
        <v>111</v>
      </c>
      <c r="C4" s="7" t="s">
        <v>112</v>
      </c>
      <c r="D4" s="18">
        <v>200000.0</v>
      </c>
      <c r="E4" s="18">
        <v>250000.0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7" t="s">
        <v>113</v>
      </c>
      <c r="B5" s="17" t="s">
        <v>114</v>
      </c>
      <c r="C5" s="7" t="s">
        <v>112</v>
      </c>
      <c r="D5" s="18">
        <v>200000.0</v>
      </c>
      <c r="E5" s="18">
        <v>250000.0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">
        <v>115</v>
      </c>
      <c r="B6" s="17" t="s">
        <v>116</v>
      </c>
      <c r="C6" s="16" t="s">
        <v>88</v>
      </c>
      <c r="D6" s="18">
        <v>350000.0</v>
      </c>
      <c r="E6" s="18">
        <v>350000.0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7" t="s">
        <v>117</v>
      </c>
      <c r="B7" s="17" t="s">
        <v>118</v>
      </c>
      <c r="C7" s="16" t="s">
        <v>88</v>
      </c>
      <c r="D7" s="18">
        <v>350000.0</v>
      </c>
      <c r="E7" s="18">
        <v>350000.0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7" t="s">
        <v>99</v>
      </c>
      <c r="B8" s="7" t="s">
        <v>119</v>
      </c>
      <c r="C8" s="15" t="s">
        <v>101</v>
      </c>
      <c r="D8" s="15" t="s">
        <v>101</v>
      </c>
      <c r="E8" s="20">
        <f>E2+E4+E6</f>
        <v>9350000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49.75"/>
    <col customWidth="1" min="3" max="3" width="15.13"/>
    <col customWidth="1" min="4" max="4" width="12.75"/>
    <col customWidth="1" min="5" max="5" width="11.0"/>
  </cols>
  <sheetData>
    <row r="1">
      <c r="A1" s="21" t="s">
        <v>19</v>
      </c>
      <c r="B1" s="21" t="s">
        <v>103</v>
      </c>
      <c r="C1" s="21" t="s">
        <v>120</v>
      </c>
      <c r="D1" s="21" t="s">
        <v>121</v>
      </c>
      <c r="E1" s="21" t="s">
        <v>105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68</v>
      </c>
      <c r="B2" s="17" t="s">
        <v>122</v>
      </c>
      <c r="C2" s="16" t="s">
        <v>123</v>
      </c>
      <c r="D2" s="18">
        <v>600000.0</v>
      </c>
      <c r="E2" s="17">
        <f t="shared" ref="E2:E4" si="1">C2*D2</f>
        <v>6000000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124</v>
      </c>
      <c r="B3" s="17" t="s">
        <v>125</v>
      </c>
      <c r="C3" s="16" t="s">
        <v>123</v>
      </c>
      <c r="D3" s="18">
        <v>250000.0</v>
      </c>
      <c r="E3" s="17">
        <f t="shared" si="1"/>
        <v>2500000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126</v>
      </c>
      <c r="B4" s="17" t="s">
        <v>127</v>
      </c>
      <c r="C4" s="16" t="s">
        <v>123</v>
      </c>
      <c r="D4" s="18">
        <v>150000.0</v>
      </c>
      <c r="E4" s="17">
        <f t="shared" si="1"/>
        <v>1500000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7" t="s">
        <v>99</v>
      </c>
      <c r="B5" s="17" t="s">
        <v>128</v>
      </c>
      <c r="C5" s="15" t="s">
        <v>101</v>
      </c>
      <c r="D5" s="15" t="s">
        <v>101</v>
      </c>
      <c r="E5" s="17">
        <f>SUM(E2:E4)</f>
        <v>10000000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22" t="s">
        <v>129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4">
        <f>(4072500000-9350000-10000000)/15000000</f>
        <v>270.21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23" t="s">
        <v>130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6">
        <f>(78096000-10000000)/15000000</f>
        <v>4.539733333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
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7650" activeTab="3"/>
  </bookViews>
  <sheets>
    <sheet name="Presupuesto Total del Proyecto" sheetId="1" r:id="rId1"/>
    <sheet name="Planeación." sheetId="2" r:id="rId2"/>
    <sheet name="Recursoso Humanos." sheetId="3" r:id="rId3"/>
    <sheet name="Sotfware." sheetId="4" r:id="rId4"/>
    <sheet name="Hadware." sheetId="5" r:id="rId5"/>
  </sheets>
  <calcPr calcId="162913"/>
</workbook>
</file>

<file path=xl/calcChain.xml><?xml version="1.0" encoding="utf-8"?>
<calcChain xmlns="http://schemas.openxmlformats.org/spreadsheetml/2006/main">
  <c r="E6" i="3" l="1"/>
</calcChain>
</file>

<file path=xl/sharedStrings.xml><?xml version="1.0" encoding="utf-8"?>
<sst xmlns="http://schemas.openxmlformats.org/spreadsheetml/2006/main" count="99" uniqueCount="84">
  <si>
    <t>Concepto</t>
  </si>
  <si>
    <t>Valor Estimado (COP)</t>
  </si>
  <si>
    <t>Porcentaje (%)</t>
  </si>
  <si>
    <t>Recursos Humanos.</t>
  </si>
  <si>
    <t>28,800,000</t>
  </si>
  <si>
    <t>85.0%</t>
  </si>
  <si>
    <t>Software</t>
  </si>
  <si>
    <t>7,198,000</t>
  </si>
  <si>
    <t>Hadware.</t>
  </si>
  <si>
    <t>1,799,244</t>
  </si>
  <si>
    <t>Total de Inversión</t>
  </si>
  <si>
    <t>41,294,244</t>
  </si>
  <si>
    <t>100%</t>
  </si>
  <si>
    <t>Fase</t>
  </si>
  <si>
    <t>Actividad Principal</t>
  </si>
  <si>
    <t>Requisitos Asociados</t>
  </si>
  <si>
    <t>Duración</t>
  </si>
  <si>
    <t>1. Análisis</t>
  </si>
  <si>
    <t>Definición de arquitectura y casos de uso.</t>
  </si>
  <si>
    <t>RF01 - RF09 (Módulo Usuarios)</t>
  </si>
  <si>
    <t>Meses 1 - 3</t>
  </si>
  <si>
    <t>2. Diseño</t>
  </si>
  <si>
    <t>Modelado DB y prototipado UI.</t>
  </si>
  <si>
    <t>RF10 - RF16 (Productos)  RF17 - RF34 (Ventas)</t>
  </si>
  <si>
    <t>Meses 4 - 6</t>
  </si>
  <si>
    <t>3. Construcción A</t>
  </si>
  <si>
    <t>Desarrollo lógica de negocio - Inventario.</t>
  </si>
  <si>
    <t>RF35 - RF41 (Módulo Inventario)</t>
  </si>
  <si>
    <t>Meses 7 - 10</t>
  </si>
  <si>
    <t>4. Construcción B</t>
  </si>
  <si>
    <t>Desarrollo lógica de negocio - Stock.</t>
  </si>
  <si>
    <t>RF42 - RF54 (Control de Stock)</t>
  </si>
  <si>
    <t>Meses 11 - 14</t>
  </si>
  <si>
    <t>5. Pruebas</t>
  </si>
  <si>
    <t>QA, Integridad de DB y casos de uso.</t>
  </si>
  <si>
    <t>Validación Integral (Todos los RF)</t>
  </si>
  <si>
    <t>Meses 15 - 16</t>
  </si>
  <si>
    <t>6. Implantación</t>
  </si>
  <si>
    <t>Despliegue, capacitación y soporte.</t>
  </si>
  <si>
    <t>Entrega final y manuales</t>
  </si>
  <si>
    <t>Meses 17 - 18</t>
  </si>
  <si>
    <t>Nombre del Profesional</t>
  </si>
  <si>
    <t>Rol Específico</t>
  </si>
  <si>
    <t>Meses</t>
  </si>
  <si>
    <t>Valor Mensual</t>
  </si>
  <si>
    <t>Subtotal</t>
  </si>
  <si>
    <t>Daniel</t>
  </si>
  <si>
    <t>Líder de Proyecto / Analista</t>
  </si>
  <si>
    <t>18</t>
  </si>
  <si>
    <t>$400,000</t>
  </si>
  <si>
    <t>Bryan</t>
  </si>
  <si>
    <t>Desarrollador Backend</t>
  </si>
  <si>
    <t>Desarrollador Frontend</t>
  </si>
  <si>
    <t>Sebastian</t>
  </si>
  <si>
    <t>QA / Gestor de Base de Datos</t>
  </si>
  <si>
    <t>Total Talento Humano</t>
  </si>
  <si>
    <t/>
  </si>
  <si>
    <t>Ítem</t>
  </si>
  <si>
    <t>Descripción Técnica</t>
  </si>
  <si>
    <t>Proyección (18 meses)</t>
  </si>
  <si>
    <t>Subtotal (COP)</t>
  </si>
  <si>
    <t>Hosting (Alojamiento)</t>
  </si>
  <si>
    <t>Servidor virtual para despliegue de la aplicación.</t>
  </si>
  <si>
    <t>350,000/ mes</t>
  </si>
  <si>
    <t>6,300,000</t>
  </si>
  <si>
    <t>Dominio (DNS)</t>
  </si>
  <si>
    <t>Registro y renovación anual de identidad web.</t>
  </si>
  <si>
    <t>Adquisición + 1 Renovación</t>
  </si>
  <si>
    <t>Servicios Cloud</t>
  </si>
  <si>
    <t>Almacenamiento S3 y transferencia de datos.</t>
  </si>
  <si>
    <t>Consumo bajo demanda</t>
  </si>
  <si>
    <t>Total Infraestructura</t>
  </si>
  <si>
    <t>Detalle de Aplicación</t>
  </si>
  <si>
    <t>Servicios Públicos e Internet</t>
  </si>
  <si>
    <t>Conectividad y energía (Basado en $50,000/mes).</t>
  </si>
  <si>
    <t>$900,000</t>
  </si>
  <si>
    <t>Papelería y Suministros</t>
  </si>
  <si>
    <t>Gastos de oficina y documentación física.</t>
  </si>
  <si>
    <t>$250,000</t>
  </si>
  <si>
    <t>Depreciación de Equipos</t>
  </si>
  <si>
    <t>Desgaste de hardware de desarrollo (18 meses).</t>
  </si>
  <si>
    <t>$649,244</t>
  </si>
  <si>
    <t>Total Administrativo</t>
  </si>
  <si>
    <t>$1,799,244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</si>
</sst>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2"/>
      <color theme="1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quotePrefix="1" applyFont="1" applyBorder="1" applyAlignment="1"/>
    <xf numFmtId="0" fontId="1" fillId="0" borderId="1" xfId="0" applyFont="1" applyBorder="1" applyAlignment="1"/>
    <xf numFmtId="0" fontId="1" fillId="5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1" fillId="13" borderId="1" xfId="0" applyFont="1" applyFill="1" applyBorder="1"/>
    <xf numFmtId="0" fontId="1" fillId="12" borderId="1" xfId="0" applyFont="1" applyFill="1" applyBorder="1"/>
    <xf numFmtId="0" fontId="1" fillId="10" borderId="1" xfId="0" applyFont="1" applyFill="1" applyBorder="1"/>
    <xf numFmtId="9" fontId="1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8"/>
  <sheetViews>
    <sheetView workbookViewId="0">
      <selection activeCell="C4" sqref="C4"/>
    </sheetView>
  </sheetViews>
  <sheetFormatPr baseColWidth="10" defaultColWidth="12.5703125" defaultRowHeight="15.75" customHeight="1" x14ac:dyDescent="0.2"/>
  <cols>
    <col min="1" max="1" width="31" customWidth="1"/>
    <col min="2" max="2" width="19.140625" customWidth="1"/>
    <col min="3" max="3" width="13" customWidth="1"/>
  </cols>
  <sheetData>
    <row r="1" spans="1:26" ht="15.75" customHeight="1" x14ac:dyDescent="0.25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5" t="s">
        <v>3</v>
      </c>
      <c r="B2" s="5" t="s">
        <v>4</v>
      </c>
      <c r="C2" s="6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5">
      <c r="A3" s="5" t="s">
        <v>6</v>
      </c>
      <c r="B3" s="5" t="s">
        <v>7</v>
      </c>
      <c r="C3" s="29">
        <v>0.1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5" t="s">
        <v>8</v>
      </c>
      <c r="B4" s="5" t="s">
        <v>9</v>
      </c>
      <c r="C4" s="29">
        <v>0.05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5">
      <c r="A5" s="7" t="s">
        <v>10</v>
      </c>
      <c r="B5" s="5" t="s">
        <v>11</v>
      </c>
      <c r="C5" s="6" t="s">
        <v>12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5703125" defaultRowHeight="15.75" customHeight="1" x14ac:dyDescent="0.2"/>
  <cols>
    <col min="1" max="1" width="15.5703125" customWidth="1"/>
    <col min="2" max="2" width="34.42578125" customWidth="1"/>
    <col min="3" max="3" width="40.140625" customWidth="1"/>
    <col min="4" max="4" width="12.28515625" customWidth="1"/>
  </cols>
  <sheetData>
    <row r="1" spans="1:26" ht="15.75" customHeight="1" x14ac:dyDescent="0.25">
      <c r="A1" s="8" t="s">
        <v>13</v>
      </c>
      <c r="B1" s="9" t="s">
        <v>14</v>
      </c>
      <c r="C1" s="10" t="s">
        <v>15</v>
      </c>
      <c r="D1" s="11" t="s">
        <v>16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25">
      <c r="A2" s="13" t="s">
        <v>17</v>
      </c>
      <c r="B2" s="13" t="s">
        <v>18</v>
      </c>
      <c r="C2" s="13" t="s">
        <v>19</v>
      </c>
      <c r="D2" s="13" t="s">
        <v>20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 x14ac:dyDescent="0.25">
      <c r="A3" s="13" t="s">
        <v>21</v>
      </c>
      <c r="B3" s="13" t="s">
        <v>22</v>
      </c>
      <c r="C3" s="13" t="s">
        <v>23</v>
      </c>
      <c r="D3" s="13" t="s">
        <v>24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 x14ac:dyDescent="0.25">
      <c r="A4" s="13" t="s">
        <v>25</v>
      </c>
      <c r="B4" s="13" t="s">
        <v>26</v>
      </c>
      <c r="C4" s="13" t="s">
        <v>27</v>
      </c>
      <c r="D4" s="13" t="s">
        <v>28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customHeight="1" x14ac:dyDescent="0.25">
      <c r="A5" s="13" t="s">
        <v>29</v>
      </c>
      <c r="B5" s="13" t="s">
        <v>30</v>
      </c>
      <c r="C5" s="13" t="s">
        <v>31</v>
      </c>
      <c r="D5" s="13" t="s">
        <v>32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 x14ac:dyDescent="0.25">
      <c r="A6" s="13" t="s">
        <v>33</v>
      </c>
      <c r="B6" s="13" t="s">
        <v>34</v>
      </c>
      <c r="C6" s="13" t="s">
        <v>35</v>
      </c>
      <c r="D6" s="13" t="s">
        <v>36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customHeight="1" x14ac:dyDescent="0.25">
      <c r="A7" s="13" t="s">
        <v>37</v>
      </c>
      <c r="B7" s="13" t="s">
        <v>38</v>
      </c>
      <c r="C7" s="13" t="s">
        <v>39</v>
      </c>
      <c r="D7" s="13" t="s">
        <v>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5703125" defaultRowHeight="15.75" customHeight="1" x14ac:dyDescent="0.2"/>
  <cols>
    <col min="1" max="1" width="20.140625" customWidth="1"/>
    <col min="2" max="2" width="25.140625" customWidth="1"/>
    <col min="4" max="4" width="12.7109375" customWidth="1"/>
  </cols>
  <sheetData>
    <row r="1" spans="1:26" ht="15.75" customHeight="1" x14ac:dyDescent="0.25">
      <c r="A1" s="14" t="s">
        <v>41</v>
      </c>
      <c r="B1" s="15" t="s">
        <v>42</v>
      </c>
      <c r="C1" s="1" t="s">
        <v>43</v>
      </c>
      <c r="D1" s="16" t="s">
        <v>44</v>
      </c>
      <c r="E1" s="17" t="s">
        <v>45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25">
      <c r="A2" s="13" t="s">
        <v>46</v>
      </c>
      <c r="B2" s="13" t="s">
        <v>47</v>
      </c>
      <c r="C2" s="18" t="s">
        <v>48</v>
      </c>
      <c r="D2" s="19" t="s">
        <v>49</v>
      </c>
      <c r="E2" s="20">
        <v>720000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 x14ac:dyDescent="0.25">
      <c r="A3" s="13" t="s">
        <v>50</v>
      </c>
      <c r="B3" s="13" t="s">
        <v>51</v>
      </c>
      <c r="C3" s="18" t="s">
        <v>48</v>
      </c>
      <c r="D3" s="19" t="s">
        <v>49</v>
      </c>
      <c r="E3" s="20">
        <v>720000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 x14ac:dyDescent="0.25">
      <c r="A4" s="20" t="s">
        <v>46</v>
      </c>
      <c r="B4" s="13" t="s">
        <v>52</v>
      </c>
      <c r="C4" s="18" t="s">
        <v>48</v>
      </c>
      <c r="D4" s="19" t="s">
        <v>49</v>
      </c>
      <c r="E4" s="20">
        <v>720000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customHeight="1" x14ac:dyDescent="0.25">
      <c r="A5" s="13" t="s">
        <v>53</v>
      </c>
      <c r="B5" s="13" t="s">
        <v>54</v>
      </c>
      <c r="C5" s="18" t="s">
        <v>48</v>
      </c>
      <c r="D5" s="20" t="s">
        <v>49</v>
      </c>
      <c r="E5" s="20">
        <v>720000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 x14ac:dyDescent="0.25">
      <c r="A6" s="13" t="s">
        <v>55</v>
      </c>
      <c r="B6" s="12" t="s">
        <v>56</v>
      </c>
      <c r="C6" s="12" t="s">
        <v>56</v>
      </c>
      <c r="D6" s="12" t="s">
        <v>56</v>
      </c>
      <c r="E6" s="13">
        <f>SUM(E2,E3,E4,E5)</f>
        <v>2880000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customHeigh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/>
  </sheetViews>
  <sheetFormatPr baseColWidth="10" defaultColWidth="12.5703125" defaultRowHeight="15.75" customHeight="1" x14ac:dyDescent="0.2"/>
  <cols>
    <col min="1" max="1" width="19.140625" customWidth="1"/>
    <col min="2" max="2" width="40.140625" customWidth="1"/>
    <col min="3" max="3" width="24" customWidth="1"/>
    <col min="4" max="4" width="13.42578125" customWidth="1"/>
  </cols>
  <sheetData>
    <row r="1" spans="1:26" ht="15.75" customHeight="1" x14ac:dyDescent="0.25">
      <c r="A1" s="21" t="s">
        <v>57</v>
      </c>
      <c r="B1" s="22" t="s">
        <v>58</v>
      </c>
      <c r="C1" s="23" t="s">
        <v>59</v>
      </c>
      <c r="D1" s="14" t="s">
        <v>60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25">
      <c r="A2" s="13" t="s">
        <v>61</v>
      </c>
      <c r="B2" s="13" t="s">
        <v>62</v>
      </c>
      <c r="C2" s="20" t="s">
        <v>63</v>
      </c>
      <c r="D2" s="24" t="s">
        <v>64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 x14ac:dyDescent="0.25">
      <c r="A3" s="13" t="s">
        <v>65</v>
      </c>
      <c r="B3" s="13" t="s">
        <v>66</v>
      </c>
      <c r="C3" s="13" t="s">
        <v>67</v>
      </c>
      <c r="D3" s="25">
        <v>250000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 x14ac:dyDescent="0.25">
      <c r="A4" s="13" t="s">
        <v>68</v>
      </c>
      <c r="B4" s="13" t="s">
        <v>69</v>
      </c>
      <c r="C4" s="13" t="s">
        <v>70</v>
      </c>
      <c r="D4" s="24">
        <v>648.86599999999999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customHeight="1" x14ac:dyDescent="0.25">
      <c r="A5" s="13" t="s">
        <v>71</v>
      </c>
      <c r="B5" s="12" t="s">
        <v>56</v>
      </c>
      <c r="C5" s="12" t="s">
        <v>56</v>
      </c>
      <c r="D5" s="24" t="s">
        <v>7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customHeigh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5703125" defaultRowHeight="15.75" customHeight="1" x14ac:dyDescent="0.2"/>
  <cols>
    <col min="1" max="1" width="24" customWidth="1"/>
    <col min="2" max="2" width="40.85546875" customWidth="1"/>
    <col min="3" max="3" width="13.42578125" customWidth="1"/>
  </cols>
  <sheetData>
    <row r="1" spans="1:26" ht="15.75" customHeight="1" x14ac:dyDescent="0.25">
      <c r="A1" s="26" t="s">
        <v>0</v>
      </c>
      <c r="B1" s="27" t="s">
        <v>72</v>
      </c>
      <c r="C1" s="28" t="s">
        <v>60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25">
      <c r="A2" s="13" t="s">
        <v>73</v>
      </c>
      <c r="B2" s="13" t="s">
        <v>74</v>
      </c>
      <c r="C2" s="18" t="s">
        <v>75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 x14ac:dyDescent="0.25">
      <c r="A3" s="13" t="s">
        <v>76</v>
      </c>
      <c r="B3" s="13" t="s">
        <v>77</v>
      </c>
      <c r="C3" s="18" t="s">
        <v>78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 x14ac:dyDescent="0.25">
      <c r="A4" s="13" t="s">
        <v>79</v>
      </c>
      <c r="B4" s="13" t="s">
        <v>80</v>
      </c>
      <c r="C4" s="18" t="s">
        <v>81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customHeight="1" x14ac:dyDescent="0.25">
      <c r="A5" s="13" t="s">
        <v>82</v>
      </c>
      <c r="B5" s="12" t="s">
        <v>56</v>
      </c>
      <c r="C5" s="18" t="s">
        <v>83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customHeigh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Presupuesto Total del Proyecto</vt:lpstr>
      <vt:lpstr>Planeación.</vt:lpstr>
      <vt:lpstr>Recursoso Humanos.</vt:lpstr>
      <vt:lpstr>Sotfware.</vt:lpstr>
      <vt:lpstr>Hadware.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2026-06-24T21:38:44Z</dcterms:created>
  <dcterms:modified xsi:type="dcterms:W3CDTF">2026-06-24T21:38:44Z</dcterms:modified>
</cp:coreProperties>
</file>
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800" windowHeight="12180" firstSheet="3" activeTab="1"/>
  </bookViews>
  <sheets>
    <sheet name="Proyecto." sheetId="1" r:id="rId1"/>
    <sheet name="Costo Total del Proyecto." sheetId="2" r:id="rId2"/>
    <sheet name="Planeación_1." sheetId="3" r:id="rId3"/>
    <sheet name="Planeación_2" sheetId="7" r:id="rId4"/>
    <sheet name="Pagos Profesionales." sheetId="4" r:id="rId5"/>
    <sheet name="Hadware y Software." sheetId="5" r:id="rId6"/>
    <sheet name="Gastos Administrativos." sheetId="6"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<sst xmlns="http://schemas.openxmlformats.org/spreadsheetml/2006/main" count="230" uniqueCount="159">
  <si>
    <t>Dato General</t>
  </si>
  <si>
    <t>Detalle</t>
  </si>
  <si>
    <t>Nombre del Proyecto</t>
  </si>
  <si>
    <t>Sistema de Información de Gestión Administrativa y Procesos (SIGAP)</t>
  </si>
  <si>
    <t>Duración</t>
  </si>
  <si>
    <t>10 meses</t>
  </si>
  <si>
    <t>Fecha de Inicio</t>
  </si>
  <si>
    <t>06 de febrero de 2026</t>
  </si>
  <si>
    <t>Fecha de Fin</t>
  </si>
  <si>
    <t>12 de diciembre de 2026</t>
  </si>
  <si>
    <t>Metodología</t>
  </si>
  <si>
    <t>Híbrida: Cascada para requisitos/modelado y Scrum para construcción de módulos</t>
  </si>
  <si>
    <t>Concepto</t>
  </si>
  <si>
    <t>Valor (COP)</t>
  </si>
  <si>
    <t>Total Pagos Profesionales</t>
  </si>
  <si>
    <t>Total Recursos Tecnológicos</t>
  </si>
  <si>
    <t>Total Gastos Administrativos</t>
  </si>
  <si>
    <t xml:space="preserve">Margen de Utilidad Proyectado </t>
  </si>
  <si>
    <t>VALOR TOTAL DEL PROYECTO</t>
  </si>
  <si>
    <t>Ítem</t>
  </si>
  <si>
    <t>Actividad Principal</t>
  </si>
  <si>
    <t>Responsable</t>
  </si>
  <si>
    <t>Fecha Inicio</t>
  </si>
  <si>
    <t>Fecha Fin</t>
  </si>
  <si>
    <t>Analizar necesidades del cliente y recolección de datos</t>
  </si>
  <si>
    <t>Analista</t>
  </si>
  <si>
    <t>06/02/2026</t>
  </si>
  <si>
    <t>06/03/2026</t>
  </si>
  <si>
    <t>Elaborar el Diagrama de Procesos de Negocio</t>
  </si>
  <si>
    <t>07/03/2026</t>
  </si>
  <si>
    <t>16/03/2026</t>
  </si>
  <si>
    <t>Elaborar el Informe de Requisitos (IEEE-830)</t>
  </si>
  <si>
    <t>17/03/2026</t>
  </si>
  <si>
    <t>27/03/2026</t>
  </si>
  <si>
    <t>Diagramación de Casos de Uso del Sistema</t>
  </si>
  <si>
    <t>28/03/2026</t>
  </si>
  <si>
    <t>05/04/2026</t>
  </si>
  <si>
    <t>Generación de Plantillas de Casos de Uso Extendido</t>
  </si>
  <si>
    <t>06/04/2026</t>
  </si>
  <si>
    <t>16/04/2026</t>
  </si>
  <si>
    <t>Consolidación del Informe Técnico de Análisis</t>
  </si>
  <si>
    <t>17/04/2026</t>
  </si>
  <si>
    <t>18/04/2026</t>
  </si>
  <si>
    <t>Elaboración del Modelo Entidad Relación (MER)</t>
  </si>
  <si>
    <t>Arquitecto</t>
  </si>
  <si>
    <t>19/04/2026</t>
  </si>
  <si>
    <t>30/04/2026</t>
  </si>
  <si>
    <t>Diseño de Arquitectura en Capas y Escalabilidad</t>
  </si>
  <si>
    <t>01/05/2026</t>
  </si>
  <si>
    <t>31/05/2026</t>
  </si>
  <si>
    <t>Desarrollo de Sprints (Módulos Usuarios, Suministros, Ventas)</t>
  </si>
  <si>
    <t>Desarrollador Senior</t>
  </si>
  <si>
    <t>01/06/2026</t>
  </si>
  <si>
    <t>15/10/2026</t>
  </si>
  <si>
    <t>Ciclo de Pruebas Unitarias e Integración</t>
  </si>
  <si>
    <t>QA / Tester</t>
  </si>
  <si>
    <t>16/10/2026</t>
  </si>
  <si>
    <t>15/11/2026</t>
  </si>
  <si>
    <t>Despliegue en Producción y Capacitación Final</t>
  </si>
  <si>
    <t>Gerente Proyecto</t>
  </si>
  <si>
    <t>16/11/2026</t>
  </si>
  <si>
    <t>12/12/2026</t>
  </si>
  <si>
    <t>Sprint</t>
  </si>
  <si>
    <t>Semana</t>
  </si>
  <si>
    <t>Requisito(s) por Responsable</t>
  </si>
  <si>
    <t>Responsables</t>
  </si>
  <si>
    <t>S1</t>
  </si>
  <si>
    <t>Bryan: RF01 Iniciar Sesión - Daniel: RF14 Reemplazar producto - Sebastian: RF34 Editar compra.</t>
  </si>
  <si>
    <t>B, D, S</t>
  </si>
  <si>
    <t>2 Dailys Remotas (15 min)</t>
  </si>
  <si>
    <t>Bryan: RF02 Cerrar Sesión - Daniel: RF15 Agrupar productos - Sebastian: RF35 Ver estado de la compra.</t>
  </si>
  <si>
    <t>2 Dailys + Sprint Review &amp; Planning Presencial (30 min)</t>
  </si>
  <si>
    <t>S2</t>
  </si>
  <si>
    <t>Bryan: RF03 Recuperar Contraseña - Daniel: RF16 Eliminar Producto - Sebastian: RF36 Registrar Producto Rechazado</t>
  </si>
  <si>
    <t>Bryan: RF04 Registrar Usuario - Daniel: RF17 Registrar compra. - Sebastian: RF37 Editar Producto Rechazado</t>
  </si>
  <si>
    <t>S3</t>
  </si>
  <si>
    <t>Bryan: RF05 Listar Usuarios - Daniel: RF18 Hacer Pago de la compra. - Sebastian: RF38 Eliminar Producto Rechazado</t>
  </si>
  <si>
    <t>Bryan: RF06 Editar Usuario - Daniel: RF19 Listar venta - Sebastian: RF39 Consultar Historial de Compras.</t>
  </si>
  <si>
    <t>S4</t>
  </si>
  <si>
    <t>Bryan: RF07 Editar Perfil - Daniel: RF20 Consultar ventas - Sebasrtian: RF40 Consultar Historial de Ventas.</t>
  </si>
  <si>
    <t>Bryan: RF08 Cambiar de Usuario. - Daniel: RF21 Editar Venta - Sebastian: RF41 Borrar historial Ventas</t>
  </si>
  <si>
    <t>S5</t>
  </si>
  <si>
    <t>Bryan: RF09 Eliminar Usuario - Daniel: RF22 Ver estado de la venta. - Sebastian: RF42 Consultar producto en stock</t>
  </si>
  <si>
    <t>Bryan: RF10 Registrar Producto - Daniel: RF23 Agrupar Ventas - Sebastian: RF43 Informar al Proveedor sobre la falta de Producto.</t>
  </si>
  <si>
    <t>S6</t>
  </si>
  <si>
    <t>Bryan: RF11 Listar Productos - Daniel: RF24 Eliminar Venta. - Sebastian: RF44 Hacer pedido del producto.</t>
  </si>
  <si>
    <t>Bryan: RF12 Consultar Producto - Daniel: RF25 Cancelación de la compra - Sebastian: RF45 Registrar fase del pedido.</t>
  </si>
  <si>
    <t>S7</t>
  </si>
  <si>
    <t>Bryan: RF13 Editar Estado de Producto o de los productos. - Daniel: RF26 Editar pedidos de ventas pendientes - Sebastian: RF46 Consultar productos en fase de pedido</t>
  </si>
  <si>
    <t>Bryan: Soporte a Pruebas y Deuda Técnica - Daniel: RF27 Consultar estado de pago de la venta. - Sebastian: RF47 Edición de fase del pedido.</t>
  </si>
  <si>
    <t>S8</t>
  </si>
  <si>
    <t>Bryan: Estabilización de Módulo Usuarios - Daniel: RF28 Registrar puntuación del servicio - Sebastian: RF48 Informar al empleado(outsoucer) de la llegada del producto</t>
  </si>
  <si>
    <t>Bryan: Cierre Técnico y Documentación - Daniel: RF29 Editar puntuación del servicio - Sebastian: RF49 Informe del avance del Producto.</t>
  </si>
  <si>
    <t>Profesional</t>
  </si>
  <si>
    <t>Cantidad</t>
  </si>
  <si>
    <t>Salario Mensual</t>
  </si>
  <si>
    <t>V/DIA</t>
  </si>
  <si>
    <t>V/HORA</t>
  </si>
  <si>
    <t>Días</t>
  </si>
  <si>
    <t>Salario Real (Parcial)</t>
  </si>
  <si>
    <t>Gerente de Proyecto</t>
  </si>
  <si>
    <t>Arquitecto de Software</t>
  </si>
  <si>
    <t>Analista de Requisitos</t>
  </si>
  <si>
    <t>TOTAL</t>
  </si>
  <si>
    <t>Pagos Profesionales.</t>
  </si>
  <si>
    <t/>
  </si>
  <si>
    <t xml:space="preserve">Horas de trabajo por día </t>
  </si>
  <si>
    <t>Se calcula el precio de los salarios por las horas y días trabajados.</t>
  </si>
  <si>
    <t xml:space="preserve">Para eso se se toma las horas trabajas por día y se multiplica por los días de trabajo. </t>
  </si>
  <si>
    <t>En base a ello se calcula el salario real y se hace la sumatoria de los pagos profesionales.</t>
  </si>
  <si>
    <t>Descripción</t>
  </si>
  <si>
    <t>Valor Unitario</t>
  </si>
  <si>
    <t>Valor Total</t>
  </si>
  <si>
    <t>4.1</t>
  </si>
  <si>
    <t>Depreciación Hardware</t>
  </si>
  <si>
    <t>4.1.1</t>
  </si>
  <si>
    <t>PCs Gama Alta (Depreciación 10 meses / 24 meses vida útil)</t>
  </si>
  <si>
    <t>4.2</t>
  </si>
  <si>
    <t>Cloud Hosting</t>
  </si>
  <si>
    <t>2CPU, 10GB RAM, 50GB</t>
  </si>
  <si>
    <t>4.2.1</t>
  </si>
  <si>
    <t>Instancias AWS/Azure (Capacidad Transaccional 24/7)</t>
  </si>
  <si>
    <t>4.3</t>
  </si>
  <si>
    <t>Software y Seguridad</t>
  </si>
  <si>
    <t>4.3.1</t>
  </si>
  <si>
    <t>Certificados Digitales SSL (Protocolo HTTPS)</t>
  </si>
  <si>
    <t>Hadware y Software.</t>
  </si>
  <si>
    <t>Elementos de un servidor.</t>
  </si>
  <si>
    <t>Información de Software</t>
  </si>
  <si>
    <t xml:space="preserve">El precio total de un servidor, varia dependiendo del almacenamiento que se necesite por consumo(ya sea de manera mensual o anual), basandose en tres elementos.   </t>
  </si>
  <si>
    <t>Elemento</t>
  </si>
  <si>
    <t>¿Qué es?</t>
  </si>
  <si>
    <t>CPU</t>
  </si>
  <si>
    <t>Es el "cerebro". Procesa las instrucciones y ejecuta el código de las aplicaciones o sitios web. Los servidores requieren procesadores con muchos núcleos para manejar múltiples tareas a la vez.</t>
  </si>
  <si>
    <t>¿Cómo se calculo?</t>
  </si>
  <si>
    <t xml:space="preserve">Las empresas dueñas de los servidores, por lo general traen, un precio determinado, en base a la necesidad del cliente, es decir, cuento almacenamiento requiere. Esto se hace mediante Calculadoras virtuales, donde dependiendo del almacenamiento requirido por cada elemento, se tiene un precio estimado en dolares. Para el caso de SIGAP, se hace la conversión, teniendo en cuenta que se necesita dos servidores: Azure(Base de datos, Backend), google cloud(Frontend) </t>
  </si>
  <si>
    <t xml:space="preserve">Memoria </t>
  </si>
  <si>
    <t xml:space="preserve"> Es el área de trabajo temporal. Almacena los datos que la CPU necesita acceder de inmediato (como bases de datos en ejecución o sesiones de usuarios). Tener mucha RAM evita que el servidor tenga que leer el disco duro constantemente.</t>
  </si>
  <si>
    <t>Almacenamiento</t>
  </si>
  <si>
    <t xml:space="preserve"> Es donde se guardan los archivos, el sistema operativo, los programas y las bases de datos de forma permanente. Se mide en Gigabytes o Terabytes</t>
  </si>
  <si>
    <t>Cantidad (Meses)</t>
  </si>
  <si>
    <t>Valor Mensual</t>
  </si>
  <si>
    <t>Soporte de Reuniones Remotas(Dailys)/ Microsoft Teams</t>
  </si>
  <si>
    <t>Servicios Públicos (Conectividad Fibra Óptica, Luz, Agua)</t>
  </si>
  <si>
    <t>Soporte de Reuniones Presenciales(Springs)</t>
  </si>
  <si>
    <t>Papelería, Suministros e Insumos Administrativos</t>
  </si>
  <si>
    <t>Gastos Administrativos</t>
  </si>
  <si>
    <t>Servicios y Conectividad.</t>
  </si>
  <si>
    <t>Precios</t>
  </si>
  <si>
    <t>Internet Fibra óptica</t>
  </si>
  <si>
    <t xml:space="preserve">Servicio Agua </t>
  </si>
  <si>
    <t>Servicio Luz</t>
  </si>
  <si>
    <t>Margen Bruto.</t>
  </si>
  <si>
    <t xml:space="preserve">Documentación </t>
  </si>
  <si>
    <t>Precios.</t>
  </si>
  <si>
    <t>Por documento imprimido.</t>
  </si>
  <si>
    <t>Margen Neto.</t>
  </si>
  <si>
    <t>Total Gastos Administrativos.</t>
  </si>
  <si>
    <t>Margen de Utilidad.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</si>
</sst>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176" formatCode="_ * #,##0.00_ ;_ * \-#,##0.00_ ;_ * &quot;-&quot;??_ ;_ @_ "/>
    <numFmt numFmtId="177" formatCode="_-&quot;XDR&quot;* #,##0.00_-;\-&quot;XDR&quot;* #,##0.00_-;_-&quot;XDR&quot;* &quot;-&quot;??_-;_-@_-"/>
    <numFmt numFmtId="178" formatCode="_ * #,##0_ ;_ * \-#,##0_ ;_ * &quot;-&quot;_ ;_ @_ "/>
    <numFmt numFmtId="179" formatCode="_-[$$-240A]\ * #,##0.00_-;\-[$$-240A]\ * #,##0.00_-;_-[$$-240A]\ * &quot;-&quot;??_-;_-@_-"/>
  </numFmts>
  <fonts count="25">
    <font>
      <sz val="10"/>
      <color rgb="FF000000"/>
      <name val="Arial"/>
      <charset val="134"/>
      <scheme val="minor"/>
    </font>
    <font>
      <sz val="12"/>
      <color theme="1"/>
      <name val="Times New Roman"/>
      <charset val="134"/>
    </font>
    <font>
      <sz val="12"/>
      <color rgb="FF000000"/>
      <name val="Times New Roman"/>
      <charset val="134"/>
    </font>
    <font>
      <sz val="12"/>
      <name val="Times New Roman"/>
      <charset val="134"/>
    </font>
    <font>
      <sz val="11"/>
      <color theme="1"/>
      <name val="Arial"/>
      <charset val="134"/>
      <scheme val="minor"/>
    </font>
    <font>
      <sz val="10"/>
      <color rgb="FF000000"/>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51">
    <fill>
      <patternFill patternType="none"/>
    </fill>
    <fill>
      <patternFill patternType="gray125"/>
    </fill>
    <fill>
      <patternFill patternType="solid">
        <fgColor rgb="FFEA9999"/>
        <bgColor rgb="FFEA9999"/>
      </patternFill>
    </fill>
    <fill>
      <patternFill patternType="solid">
        <fgColor theme="8" tint="0.599993896298105"/>
        <bgColor indexed="64"/>
      </patternFill>
    </fill>
    <fill>
      <patternFill patternType="solid">
        <fgColor rgb="FFD0E0E3"/>
        <bgColor rgb="FFD0E0E3"/>
      </patternFill>
    </fill>
    <fill>
      <patternFill patternType="solid">
        <fgColor rgb="FFB6D7A8"/>
        <bgColor rgb="FFB6D7A8"/>
      </patternFill>
    </fill>
    <fill>
      <patternFill patternType="solid">
        <fgColor theme="5" tint="0.399975585192419"/>
        <bgColor indexed="64"/>
      </patternFill>
    </fill>
    <fill>
      <patternFill patternType="solid">
        <fgColor rgb="FF00B0F0"/>
        <bgColor indexed="64"/>
      </patternFill>
    </fill>
    <fill>
      <patternFill patternType="solid">
        <fgColor rgb="FF00FFFF"/>
        <bgColor rgb="FF00FFFF"/>
      </patternFill>
    </fill>
    <fill>
      <patternFill patternType="solid">
        <fgColor theme="4" tint="0.599993896298105"/>
        <bgColor indexed="64"/>
      </patternFill>
    </fill>
    <fill>
      <patternFill patternType="solid">
        <fgColor rgb="FFFFFF00"/>
        <bgColor indexed="64"/>
      </patternFill>
    </fill>
    <fill>
      <patternFill patternType="solid">
        <fgColor rgb="FF9FC5E8"/>
        <bgColor rgb="FF9FC5E8"/>
      </patternFill>
    </fill>
    <fill>
      <patternFill patternType="solid">
        <fgColor theme="6" tint="0.399975585192419"/>
        <bgColor indexed="64"/>
      </patternFill>
    </fill>
    <fill>
      <patternFill patternType="solid">
        <fgColor rgb="FFFFC000"/>
        <bgColor indexed="64"/>
      </patternFill>
    </fill>
    <fill>
      <patternFill patternType="solid">
        <fgColor rgb="FFFFE599"/>
        <bgColor rgb="FFFFE599"/>
      </patternFill>
    </fill>
    <fill>
      <patternFill patternType="solid">
        <fgColor rgb="FFA4C2F4"/>
        <bgColor rgb="FFA4C2F4"/>
      </patternFill>
    </fill>
    <fill>
      <patternFill patternType="solid">
        <fgColor rgb="FFE06666"/>
        <bgColor rgb="FFE06666"/>
      </patternFill>
    </fill>
    <fill>
      <patternFill patternType="solid">
        <fgColor rgb="FFB4A7D6"/>
        <bgColor rgb="FFB4A7D6"/>
      </patternFill>
    </fill>
    <fill>
      <patternFill patternType="solid">
        <fgColor rgb="FF93C47D"/>
        <bgColor rgb="FF93C47D"/>
      </patternFill>
    </fill>
    <fill>
      <patternFill patternType="solid">
        <fgColor rgb="FF6D9EEB"/>
        <bgColor rgb="FF6D9EE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5" fillId="0" borderId="0" applyFont="0" applyFill="0" applyBorder="0" applyAlignment="0" applyProtection="0"/>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42" fontId="4"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4" fillId="20" borderId="5"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6"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21" borderId="8" applyNumberFormat="0" applyAlignment="0" applyProtection="0">
      <alignment vertical="center"/>
    </xf>
    <xf numFmtId="0" fontId="15" fillId="22" borderId="9" applyNumberFormat="0" applyAlignment="0" applyProtection="0">
      <alignment vertical="center"/>
    </xf>
    <xf numFmtId="0" fontId="16" fillId="22" borderId="8" applyNumberFormat="0" applyAlignment="0" applyProtection="0">
      <alignment vertical="center"/>
    </xf>
    <xf numFmtId="0" fontId="17" fillId="23" borderId="10" applyNumberFormat="0" applyAlignment="0" applyProtection="0">
      <alignment vertical="center"/>
    </xf>
    <xf numFmtId="0" fontId="18" fillId="0" borderId="11" applyNumberFormat="0" applyFill="0" applyAlignment="0" applyProtection="0">
      <alignment vertical="center"/>
    </xf>
    <xf numFmtId="0" fontId="19" fillId="0" borderId="12" applyNumberFormat="0" applyFill="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xf numFmtId="0" fontId="23"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3" fillId="38" borderId="0" applyNumberFormat="0" applyBorder="0" applyAlignment="0" applyProtection="0">
      <alignment vertical="center"/>
    </xf>
    <xf numFmtId="0" fontId="23" fillId="39" borderId="0" applyNumberFormat="0" applyBorder="0" applyAlignment="0" applyProtection="0">
      <alignment vertical="center"/>
    </xf>
    <xf numFmtId="0" fontId="24" fillId="40" borderId="0" applyNumberFormat="0" applyBorder="0" applyAlignment="0" applyProtection="0">
      <alignment vertical="center"/>
    </xf>
    <xf numFmtId="0" fontId="24" fillId="41" borderId="0" applyNumberFormat="0" applyBorder="0" applyAlignment="0" applyProtection="0">
      <alignment vertical="center"/>
    </xf>
    <xf numFmtId="0" fontId="23" fillId="42" borderId="0" applyNumberFormat="0" applyBorder="0" applyAlignment="0" applyProtection="0">
      <alignment vertical="center"/>
    </xf>
    <xf numFmtId="0" fontId="23" fillId="43" borderId="0" applyNumberFormat="0" applyBorder="0" applyAlignment="0" applyProtection="0">
      <alignment vertical="center"/>
    </xf>
    <xf numFmtId="0" fontId="24" fillId="44" borderId="0" applyNumberFormat="0" applyBorder="0" applyAlignment="0" applyProtection="0">
      <alignment vertical="center"/>
    </xf>
    <xf numFmtId="0" fontId="24" fillId="45" borderId="0" applyNumberFormat="0" applyBorder="0" applyAlignment="0" applyProtection="0">
      <alignment vertical="center"/>
    </xf>
    <xf numFmtId="0" fontId="23" fillId="46" borderId="0" applyNumberFormat="0" applyBorder="0" applyAlignment="0" applyProtection="0">
      <alignment vertical="center"/>
    </xf>
    <xf numFmtId="0" fontId="23" fillId="47" borderId="0" applyNumberFormat="0" applyBorder="0" applyAlignment="0" applyProtection="0">
      <alignment vertical="center"/>
    </xf>
    <xf numFmtId="0" fontId="24" fillId="48" borderId="0" applyNumberFormat="0" applyBorder="0" applyAlignment="0" applyProtection="0">
      <alignment vertical="center"/>
    </xf>
    <xf numFmtId="0" fontId="24" fillId="49" borderId="0" applyNumberFormat="0" applyBorder="0" applyAlignment="0" applyProtection="0">
      <alignment vertical="center"/>
    </xf>
    <xf numFmtId="0" fontId="23" fillId="50" borderId="0" applyNumberFormat="0" applyBorder="0" applyAlignment="0" applyProtection="0">
      <alignment vertical="center"/>
    </xf>
  </cellStyleXfs>
  <cellXfs count="46">
    <xf numFmtId="0" fontId="0" fillId="0" borderId="0" xfId="0" applyFont="1" applyAlignment="1"/>
    <xf numFmtId="0" fontId="1" fillId="2" borderId="1" xfId="0" applyFont="1" applyFill="1" applyBorder="1" applyAlignment="1">
      <alignment horizontal="center"/>
    </xf>
    <xf numFmtId="179" fontId="1" fillId="2" borderId="1" xfId="0" applyNumberFormat="1" applyFont="1" applyFill="1" applyBorder="1" applyAlignment="1">
      <alignment horizontal="center"/>
    </xf>
    <xf numFmtId="0" fontId="1" fillId="0" borderId="0" xfId="0" applyFont="1"/>
    <xf numFmtId="0" fontId="1" fillId="0" borderId="1" xfId="0" applyFont="1" applyBorder="1" applyAlignment="1">
      <alignment horizontal="center"/>
    </xf>
    <xf numFmtId="179" fontId="1" fillId="0" borderId="1" xfId="0" applyNumberFormat="1" applyFont="1" applyBorder="1" applyAlignment="1">
      <alignment horizontal="center"/>
    </xf>
    <xf numFmtId="179" fontId="1" fillId="0" borderId="1" xfId="2" applyNumberFormat="1" applyFont="1" applyBorder="1" applyAlignment="1">
      <alignment horizontal="center"/>
    </xf>
    <xf numFmtId="0" fontId="1" fillId="0" borderId="0" xfId="0" applyFont="1" applyAlignment="1">
      <alignment horizontal="center"/>
    </xf>
    <xf numFmtId="179" fontId="1" fillId="0" borderId="0" xfId="0" applyNumberFormat="1" applyFont="1" applyAlignment="1">
      <alignment horizontal="center"/>
    </xf>
    <xf numFmtId="0" fontId="2" fillId="3" borderId="2" xfId="0" applyFont="1" applyFill="1" applyBorder="1" applyAlignment="1">
      <alignment horizontal="center"/>
    </xf>
    <xf numFmtId="0" fontId="2" fillId="0" borderId="2" xfId="0" applyFont="1" applyBorder="1" applyAlignment="1">
      <alignment horizontal="center"/>
    </xf>
    <xf numFmtId="0" fontId="1" fillId="4" borderId="1" xfId="0" applyFont="1" applyFill="1" applyBorder="1" applyAlignment="1">
      <alignment horizontal="center"/>
    </xf>
    <xf numFmtId="0" fontId="1" fillId="5" borderId="1" xfId="0" applyFont="1" applyFill="1" applyBorder="1" applyAlignment="1">
      <alignment horizontal="center"/>
    </xf>
    <xf numFmtId="0" fontId="2" fillId="6" borderId="3" xfId="0" applyFont="1" applyFill="1" applyBorder="1" applyAlignment="1">
      <alignment horizontal="center"/>
    </xf>
    <xf numFmtId="0" fontId="2" fillId="0" borderId="0" xfId="0" applyFont="1" applyFill="1" applyBorder="1" applyAlignment="1">
      <alignment horizontal="center"/>
    </xf>
    <xf numFmtId="179" fontId="2" fillId="0" borderId="3" xfId="0" applyNumberFormat="1" applyFont="1" applyBorder="1" applyAlignment="1">
      <alignment horizontal="center"/>
    </xf>
    <xf numFmtId="179" fontId="2" fillId="0" borderId="0" xfId="0" applyNumberFormat="1" applyFont="1" applyFill="1" applyBorder="1" applyAlignment="1">
      <alignment horizontal="center"/>
    </xf>
    <xf numFmtId="0" fontId="3" fillId="7" borderId="2" xfId="0" applyFont="1" applyFill="1" applyBorder="1"/>
    <xf numFmtId="179" fontId="1" fillId="0" borderId="2" xfId="0" applyNumberFormat="1" applyFont="1" applyBorder="1"/>
    <xf numFmtId="0" fontId="1" fillId="8" borderId="1" xfId="0" applyFont="1" applyFill="1" applyBorder="1"/>
    <xf numFmtId="0" fontId="1" fillId="0" borderId="1" xfId="0" applyFont="1" applyBorder="1"/>
    <xf numFmtId="179" fontId="1" fillId="0" borderId="1" xfId="0" applyNumberFormat="1" applyFont="1" applyBorder="1"/>
    <xf numFmtId="0" fontId="1" fillId="0" borderId="1" xfId="0" applyFont="1" applyBorder="1" applyAlignment="1"/>
    <xf numFmtId="179" fontId="1" fillId="0" borderId="1" xfId="0" applyNumberFormat="1" applyFont="1" applyBorder="1" applyAlignment="1"/>
    <xf numFmtId="179" fontId="1" fillId="0" borderId="0" xfId="0" applyNumberFormat="1" applyFont="1"/>
    <xf numFmtId="0" fontId="1" fillId="3" borderId="2" xfId="0" applyFont="1" applyFill="1" applyBorder="1" applyAlignment="1">
      <alignment horizontal="center" vertical="center"/>
    </xf>
    <xf numFmtId="0" fontId="1" fillId="9"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10" borderId="2" xfId="0" applyFont="1" applyFill="1" applyBorder="1" applyAlignment="1">
      <alignment horizontal="center" vertical="center"/>
    </xf>
    <xf numFmtId="0" fontId="2" fillId="0" borderId="2" xfId="0" applyFont="1" applyBorder="1" applyAlignment="1">
      <alignment horizontal="center" vertical="center" wrapText="1"/>
    </xf>
    <xf numFmtId="0" fontId="1" fillId="11" borderId="1" xfId="0" applyFont="1" applyFill="1" applyBorder="1"/>
    <xf numFmtId="179" fontId="1" fillId="11" borderId="1" xfId="2" applyNumberFormat="1" applyFont="1" applyFill="1" applyBorder="1"/>
    <xf numFmtId="179" fontId="1" fillId="0" borderId="1" xfId="2" applyNumberFormat="1" applyFont="1" applyBorder="1" applyAlignment="1"/>
    <xf numFmtId="179" fontId="1" fillId="0" borderId="1" xfId="2" applyNumberFormat="1" applyFont="1" applyBorder="1"/>
    <xf numFmtId="0" fontId="1" fillId="12" borderId="2" xfId="0" applyFont="1" applyFill="1" applyBorder="1" applyAlignment="1">
      <alignment horizontal="center"/>
    </xf>
    <xf numFmtId="0" fontId="1" fillId="0" borderId="2" xfId="0" applyFont="1" applyBorder="1" applyAlignment="1">
      <alignment horizontal="center"/>
    </xf>
    <xf numFmtId="0" fontId="2" fillId="13" borderId="2" xfId="0" applyFont="1" applyFill="1" applyBorder="1" applyAlignment="1"/>
    <xf numFmtId="0" fontId="2" fillId="0" borderId="4" xfId="0" applyFont="1" applyBorder="1" applyAlignment="1"/>
    <xf numFmtId="0" fontId="2" fillId="0" borderId="2" xfId="0" applyFont="1" applyBorder="1" applyAlignment="1"/>
    <xf numFmtId="58" fontId="2" fillId="0" borderId="2" xfId="0" applyNumberFormat="1" applyFont="1" applyBorder="1" applyAlignment="1"/>
    <xf numFmtId="0" fontId="1" fillId="14" borderId="1" xfId="0" applyFont="1" applyFill="1" applyBorder="1" applyAlignment="1">
      <alignment horizontal="center"/>
    </xf>
    <xf numFmtId="0" fontId="1" fillId="15" borderId="1" xfId="0" applyFont="1" applyFill="1" applyBorder="1" applyAlignment="1">
      <alignment horizontal="center"/>
    </xf>
    <xf numFmtId="0" fontId="1" fillId="16" borderId="1" xfId="0" applyFont="1" applyFill="1" applyBorder="1" applyAlignment="1">
      <alignment horizontal="center"/>
    </xf>
    <xf numFmtId="0" fontId="1" fillId="17" borderId="1" xfId="0" applyFont="1" applyFill="1" applyBorder="1" applyAlignment="1">
      <alignment horizontal="center"/>
    </xf>
    <xf numFmtId="0" fontId="1" fillId="18" borderId="1" xfId="0" applyFont="1" applyFill="1" applyBorder="1" applyAlignment="1">
      <alignment horizontal="center"/>
    </xf>
    <xf numFmtId="0" fontId="1" fillId="19" borderId="1" xfId="0" applyFont="1" applyFill="1" applyBorder="1" applyAlignment="1">
      <alignment horizontal="center"/>
    </xf>
    <xf numFmtId="0" fontId="1" fillId="0" borderId="1" xfId="0" applyFont="1" applyBorder="1" applyAlignment="1" quotePrefix="1">
      <alignment horizontal="center"/>
    </xf>
    <xf numFmtId="0" fontId="1" fillId="0" borderId="1" xfId="0" applyFont="1" applyBorder="1" quotePrefix="1"/>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A1" sqref="A1"/>
    </sheetView>
  </sheetViews>
  <sheetFormatPr defaultColWidth="12.5714285714286" defaultRowHeight="15.75" customHeight="1"/>
  <cols>
    <col min="1" max="1" width="20" customWidth="1"/>
    <col min="2" max="2" width="67.1428571428571" customWidth="1"/>
  </cols>
  <sheetData>
    <row r="1" customHeight="1" spans="1:26">
      <c r="A1" s="45" t="s">
        <v>0</v>
      </c>
      <c r="B1" s="42" t="s">
        <v>1</v>
      </c>
      <c r="C1" s="7"/>
      <c r="D1" s="7"/>
      <c r="E1" s="7"/>
      <c r="F1" s="7"/>
      <c r="G1" s="7"/>
      <c r="H1" s="7"/>
      <c r="I1" s="7"/>
      <c r="J1" s="7"/>
      <c r="K1" s="7"/>
      <c r="L1" s="7"/>
      <c r="M1" s="7"/>
      <c r="N1" s="7"/>
      <c r="O1" s="7"/>
      <c r="P1" s="7"/>
      <c r="Q1" s="7"/>
      <c r="R1" s="7"/>
      <c r="S1" s="7"/>
      <c r="T1" s="7"/>
      <c r="U1" s="7"/>
      <c r="V1" s="7"/>
      <c r="W1" s="7"/>
      <c r="X1" s="7"/>
      <c r="Y1" s="7"/>
      <c r="Z1" s="7"/>
    </row>
    <row r="2" customHeight="1" spans="1:26">
      <c r="A2" s="4" t="s">
        <v>2</v>
      </c>
      <c r="B2" s="4" t="s">
        <v>3</v>
      </c>
      <c r="C2" s="7"/>
      <c r="D2" s="7"/>
      <c r="E2" s="7"/>
      <c r="F2" s="7"/>
      <c r="G2" s="7"/>
      <c r="H2" s="7"/>
      <c r="I2" s="7"/>
      <c r="J2" s="7"/>
      <c r="K2" s="7"/>
      <c r="L2" s="7"/>
      <c r="M2" s="7"/>
      <c r="N2" s="7"/>
      <c r="O2" s="7"/>
      <c r="P2" s="7"/>
      <c r="Q2" s="7"/>
      <c r="R2" s="7"/>
      <c r="S2" s="7"/>
      <c r="T2" s="7"/>
      <c r="U2" s="7"/>
      <c r="V2" s="7"/>
      <c r="W2" s="7"/>
      <c r="X2" s="7"/>
      <c r="Y2" s="7"/>
      <c r="Z2" s="7"/>
    </row>
    <row r="3" customHeight="1" spans="1:26">
      <c r="A3" s="4" t="s">
        <v>4</v>
      </c>
      <c r="B3" s="4" t="s">
        <v>5</v>
      </c>
      <c r="C3" s="7"/>
      <c r="D3" s="7"/>
      <c r="E3" s="7"/>
      <c r="F3" s="7"/>
      <c r="G3" s="7"/>
      <c r="H3" s="7"/>
      <c r="I3" s="7"/>
      <c r="J3" s="7"/>
      <c r="K3" s="7"/>
      <c r="L3" s="7"/>
      <c r="M3" s="7"/>
      <c r="N3" s="7"/>
      <c r="O3" s="7"/>
      <c r="P3" s="7"/>
      <c r="Q3" s="7"/>
      <c r="R3" s="7"/>
      <c r="S3" s="7"/>
      <c r="T3" s="7"/>
      <c r="U3" s="7"/>
      <c r="V3" s="7"/>
      <c r="W3" s="7"/>
      <c r="X3" s="7"/>
      <c r="Y3" s="7"/>
      <c r="Z3" s="7"/>
    </row>
    <row r="4" customHeight="1" spans="1:26">
      <c r="A4" s="4" t="s">
        <v>6</v>
      </c>
      <c r="B4" s="4" t="s">
        <v>7</v>
      </c>
      <c r="C4" s="7"/>
      <c r="D4" s="7"/>
      <c r="E4" s="7"/>
      <c r="F4" s="7"/>
      <c r="G4" s="7"/>
      <c r="H4" s="7"/>
      <c r="I4" s="7"/>
      <c r="J4" s="7"/>
      <c r="K4" s="7"/>
      <c r="L4" s="7"/>
      <c r="M4" s="7"/>
      <c r="N4" s="7"/>
      <c r="O4" s="7"/>
      <c r="P4" s="7"/>
      <c r="Q4" s="7"/>
      <c r="R4" s="7"/>
      <c r="S4" s="7"/>
      <c r="T4" s="7"/>
      <c r="U4" s="7"/>
      <c r="V4" s="7"/>
      <c r="W4" s="7"/>
      <c r="X4" s="7"/>
      <c r="Y4" s="7"/>
      <c r="Z4" s="7"/>
    </row>
    <row r="5" customHeight="1" spans="1:26">
      <c r="A5" s="4" t="s">
        <v>8</v>
      </c>
      <c r="B5" s="4" t="s">
        <v>9</v>
      </c>
      <c r="C5" s="7"/>
      <c r="D5" s="7"/>
      <c r="E5" s="7"/>
      <c r="F5" s="7"/>
      <c r="G5" s="7"/>
      <c r="H5" s="7"/>
      <c r="I5" s="7"/>
      <c r="J5" s="7"/>
      <c r="K5" s="7"/>
      <c r="L5" s="7"/>
      <c r="M5" s="7"/>
      <c r="N5" s="7"/>
      <c r="O5" s="7"/>
      <c r="P5" s="7"/>
      <c r="Q5" s="7"/>
      <c r="R5" s="7"/>
      <c r="S5" s="7"/>
      <c r="T5" s="7"/>
      <c r="U5" s="7"/>
      <c r="V5" s="7"/>
      <c r="W5" s="7"/>
      <c r="X5" s="7"/>
      <c r="Y5" s="7"/>
      <c r="Z5" s="7"/>
    </row>
    <row r="6" customHeight="1" spans="1:26">
      <c r="A6" s="4" t="s">
        <v>10</v>
      </c>
      <c r="B6" s="4" t="s">
        <v>11</v>
      </c>
      <c r="C6" s="7"/>
      <c r="D6" s="7"/>
      <c r="E6" s="7"/>
      <c r="F6" s="7"/>
      <c r="G6" s="7"/>
      <c r="H6" s="7"/>
      <c r="I6" s="7"/>
      <c r="J6" s="7"/>
      <c r="K6" s="7"/>
      <c r="L6" s="7"/>
      <c r="M6" s="7"/>
      <c r="N6" s="7"/>
      <c r="O6" s="7"/>
      <c r="P6" s="7"/>
      <c r="Q6" s="7"/>
      <c r="R6" s="7"/>
      <c r="S6" s="7"/>
      <c r="T6" s="7"/>
      <c r="U6" s="7"/>
      <c r="V6" s="7"/>
      <c r="W6" s="7"/>
      <c r="X6" s="7"/>
      <c r="Y6" s="7"/>
      <c r="Z6" s="7"/>
    </row>
    <row r="7" customHeight="1" spans="1:26">
      <c r="A7" s="7"/>
      <c r="B7" s="7"/>
      <c r="C7" s="7"/>
      <c r="D7" s="7"/>
      <c r="E7" s="7"/>
      <c r="F7" s="7"/>
      <c r="G7" s="7"/>
      <c r="H7" s="7"/>
      <c r="I7" s="7"/>
      <c r="J7" s="7"/>
      <c r="K7" s="7"/>
      <c r="L7" s="7"/>
      <c r="M7" s="7"/>
      <c r="N7" s="7"/>
      <c r="O7" s="7"/>
      <c r="P7" s="7"/>
      <c r="Q7" s="7"/>
      <c r="R7" s="7"/>
      <c r="S7" s="7"/>
      <c r="T7" s="7"/>
      <c r="U7" s="7"/>
      <c r="V7" s="7"/>
      <c r="W7" s="7"/>
      <c r="X7" s="7"/>
      <c r="Y7" s="7"/>
      <c r="Z7" s="7"/>
    </row>
    <row r="8" customHeight="1" spans="1:26">
      <c r="A8" s="7"/>
      <c r="B8" s="7"/>
      <c r="C8" s="7"/>
      <c r="D8" s="7"/>
      <c r="E8" s="7"/>
      <c r="F8" s="7"/>
      <c r="G8" s="7"/>
      <c r="H8" s="7"/>
      <c r="I8" s="7"/>
      <c r="J8" s="7"/>
      <c r="K8" s="7"/>
      <c r="L8" s="7"/>
      <c r="M8" s="7"/>
      <c r="N8" s="7"/>
      <c r="O8" s="7"/>
      <c r="P8" s="7"/>
      <c r="Q8" s="7"/>
      <c r="R8" s="7"/>
      <c r="S8" s="7"/>
      <c r="T8" s="7"/>
      <c r="U8" s="7"/>
      <c r="V8" s="7"/>
      <c r="W8" s="7"/>
      <c r="X8" s="7"/>
      <c r="Y8" s="7"/>
      <c r="Z8" s="7"/>
    </row>
    <row r="9" customHeight="1" spans="1:26">
      <c r="A9" s="7"/>
      <c r="B9" s="7"/>
      <c r="C9" s="7"/>
      <c r="D9" s="7"/>
      <c r="E9" s="7"/>
      <c r="F9" s="7"/>
      <c r="G9" s="7"/>
      <c r="H9" s="7"/>
      <c r="I9" s="7"/>
      <c r="J9" s="7"/>
      <c r="K9" s="7"/>
      <c r="L9" s="7"/>
      <c r="M9" s="7"/>
      <c r="N9" s="7"/>
      <c r="O9" s="7"/>
      <c r="P9" s="7"/>
      <c r="Q9" s="7"/>
      <c r="R9" s="7"/>
      <c r="S9" s="7"/>
      <c r="T9" s="7"/>
      <c r="U9" s="7"/>
      <c r="V9" s="7"/>
      <c r="W9" s="7"/>
      <c r="X9" s="7"/>
      <c r="Y9" s="7"/>
      <c r="Z9" s="7"/>
    </row>
    <row r="10" customHeight="1" spans="1:26">
      <c r="A10" s="7"/>
      <c r="B10" s="7"/>
      <c r="C10" s="7"/>
      <c r="D10" s="7"/>
      <c r="E10" s="7"/>
      <c r="F10" s="7"/>
      <c r="G10" s="7"/>
      <c r="H10" s="7"/>
      <c r="I10" s="7"/>
      <c r="J10" s="7"/>
      <c r="K10" s="7"/>
      <c r="L10" s="7"/>
      <c r="M10" s="7"/>
      <c r="N10" s="7"/>
      <c r="O10" s="7"/>
      <c r="P10" s="7"/>
      <c r="Q10" s="7"/>
      <c r="R10" s="7"/>
      <c r="S10" s="7"/>
      <c r="T10" s="7"/>
      <c r="U10" s="7"/>
      <c r="V10" s="7"/>
      <c r="W10" s="7"/>
      <c r="X10" s="7"/>
      <c r="Y10" s="7"/>
      <c r="Z10" s="7"/>
    </row>
    <row r="11" customHeight="1" spans="1:26">
      <c r="A11" s="7"/>
      <c r="B11" s="7"/>
      <c r="C11" s="7"/>
      <c r="D11" s="7"/>
      <c r="E11" s="7"/>
      <c r="F11" s="7"/>
      <c r="G11" s="7"/>
      <c r="H11" s="7"/>
      <c r="I11" s="7"/>
      <c r="J11" s="7"/>
      <c r="K11" s="7"/>
      <c r="L11" s="7"/>
      <c r="M11" s="7"/>
      <c r="N11" s="7"/>
      <c r="O11" s="7"/>
      <c r="P11" s="7"/>
      <c r="Q11" s="7"/>
      <c r="R11" s="7"/>
      <c r="S11" s="7"/>
      <c r="T11" s="7"/>
      <c r="U11" s="7"/>
      <c r="V11" s="7"/>
      <c r="W11" s="7"/>
      <c r="X11" s="7"/>
      <c r="Y11" s="7"/>
      <c r="Z11" s="7"/>
    </row>
    <row r="12" customHeight="1" spans="1:26">
      <c r="A12" s="7"/>
      <c r="B12" s="7"/>
      <c r="C12" s="7"/>
      <c r="D12" s="7"/>
      <c r="E12" s="7"/>
      <c r="F12" s="7"/>
      <c r="G12" s="7"/>
      <c r="H12" s="7"/>
      <c r="I12" s="7"/>
      <c r="J12" s="7"/>
      <c r="K12" s="7"/>
      <c r="L12" s="7"/>
      <c r="M12" s="7"/>
      <c r="N12" s="7"/>
      <c r="O12" s="7"/>
      <c r="P12" s="7"/>
      <c r="Q12" s="7"/>
      <c r="R12" s="7"/>
      <c r="S12" s="7"/>
      <c r="T12" s="7"/>
      <c r="U12" s="7"/>
      <c r="V12" s="7"/>
      <c r="W12" s="7"/>
      <c r="X12" s="7"/>
      <c r="Y12" s="7"/>
      <c r="Z12" s="7"/>
    </row>
    <row r="13" customHeight="1" spans="1:26">
      <c r="A13" s="7"/>
      <c r="B13" s="7"/>
      <c r="C13" s="7"/>
      <c r="D13" s="7"/>
      <c r="E13" s="7"/>
      <c r="F13" s="7"/>
      <c r="G13" s="7"/>
      <c r="H13" s="7"/>
      <c r="I13" s="7"/>
      <c r="J13" s="7"/>
      <c r="K13" s="7"/>
      <c r="L13" s="7"/>
      <c r="M13" s="7"/>
      <c r="N13" s="7"/>
      <c r="O13" s="7"/>
      <c r="P13" s="7"/>
      <c r="Q13" s="7"/>
      <c r="R13" s="7"/>
      <c r="S13" s="7"/>
      <c r="T13" s="7"/>
      <c r="U13" s="7"/>
      <c r="V13" s="7"/>
      <c r="W13" s="7"/>
      <c r="X13" s="7"/>
      <c r="Y13" s="7"/>
      <c r="Z13" s="7"/>
    </row>
    <row r="14" customHeight="1" spans="1:26">
      <c r="A14" s="7"/>
      <c r="B14" s="7"/>
      <c r="C14" s="7"/>
      <c r="D14" s="7"/>
      <c r="E14" s="7"/>
      <c r="F14" s="7"/>
      <c r="G14" s="7"/>
      <c r="H14" s="7"/>
      <c r="I14" s="7"/>
      <c r="J14" s="7"/>
      <c r="K14" s="7"/>
      <c r="L14" s="7"/>
      <c r="M14" s="7"/>
      <c r="N14" s="7"/>
      <c r="O14" s="7"/>
      <c r="P14" s="7"/>
      <c r="Q14" s="7"/>
      <c r="R14" s="7"/>
      <c r="S14" s="7"/>
      <c r="T14" s="7"/>
      <c r="U14" s="7"/>
      <c r="V14" s="7"/>
      <c r="W14" s="7"/>
      <c r="X14" s="7"/>
      <c r="Y14" s="7"/>
      <c r="Z14" s="7"/>
    </row>
    <row r="15" customHeight="1" spans="1:26">
      <c r="A15" s="7"/>
      <c r="B15" s="7"/>
      <c r="C15" s="7"/>
      <c r="D15" s="7"/>
      <c r="E15" s="7"/>
      <c r="F15" s="7"/>
      <c r="G15" s="7"/>
      <c r="H15" s="7"/>
      <c r="I15" s="7"/>
      <c r="J15" s="7"/>
      <c r="K15" s="7"/>
      <c r="L15" s="7"/>
      <c r="M15" s="7"/>
      <c r="N15" s="7"/>
      <c r="O15" s="7"/>
      <c r="P15" s="7"/>
      <c r="Q15" s="7"/>
      <c r="R15" s="7"/>
      <c r="S15" s="7"/>
      <c r="T15" s="7"/>
      <c r="U15" s="7"/>
      <c r="V15" s="7"/>
      <c r="W15" s="7"/>
      <c r="X15" s="7"/>
      <c r="Y15" s="7"/>
      <c r="Z15" s="7"/>
    </row>
    <row r="16" customHeight="1" spans="1:26">
      <c r="A16" s="7"/>
      <c r="B16" s="7"/>
      <c r="C16" s="7"/>
      <c r="D16" s="7"/>
      <c r="E16" s="7"/>
      <c r="F16" s="7"/>
      <c r="G16" s="7"/>
      <c r="H16" s="7"/>
      <c r="I16" s="7"/>
      <c r="J16" s="7"/>
      <c r="K16" s="7"/>
      <c r="L16" s="7"/>
      <c r="M16" s="7"/>
      <c r="N16" s="7"/>
      <c r="O16" s="7"/>
      <c r="P16" s="7"/>
      <c r="Q16" s="7"/>
      <c r="R16" s="7"/>
      <c r="S16" s="7"/>
      <c r="T16" s="7"/>
      <c r="U16" s="7"/>
      <c r="V16" s="7"/>
      <c r="W16" s="7"/>
      <c r="X16" s="7"/>
      <c r="Y16" s="7"/>
      <c r="Z16" s="7"/>
    </row>
    <row r="17" customHeight="1" spans="1:26">
      <c r="A17" s="7"/>
      <c r="B17" s="7"/>
      <c r="C17" s="7"/>
      <c r="D17" s="7"/>
      <c r="E17" s="7"/>
      <c r="F17" s="7"/>
      <c r="G17" s="7"/>
      <c r="H17" s="7"/>
      <c r="I17" s="7"/>
      <c r="J17" s="7"/>
      <c r="K17" s="7"/>
      <c r="L17" s="7"/>
      <c r="M17" s="7"/>
      <c r="N17" s="7"/>
      <c r="O17" s="7"/>
      <c r="P17" s="7"/>
      <c r="Q17" s="7"/>
      <c r="R17" s="7"/>
      <c r="S17" s="7"/>
      <c r="T17" s="7"/>
      <c r="U17" s="7"/>
      <c r="V17" s="7"/>
      <c r="W17" s="7"/>
      <c r="X17" s="7"/>
      <c r="Y17" s="7"/>
      <c r="Z17" s="7"/>
    </row>
    <row r="18" customHeight="1" spans="1:26">
      <c r="A18" s="7"/>
      <c r="B18" s="7"/>
      <c r="C18" s="7"/>
      <c r="D18" s="7"/>
      <c r="E18" s="7"/>
      <c r="F18" s="7"/>
      <c r="G18" s="7"/>
      <c r="H18" s="7"/>
      <c r="I18" s="7"/>
      <c r="J18" s="7"/>
      <c r="K18" s="7"/>
      <c r="L18" s="7"/>
      <c r="M18" s="7"/>
      <c r="N18" s="7"/>
      <c r="O18" s="7"/>
      <c r="P18" s="7"/>
      <c r="Q18" s="7"/>
      <c r="R18" s="7"/>
      <c r="S18" s="7"/>
      <c r="T18" s="7"/>
      <c r="U18" s="7"/>
      <c r="V18" s="7"/>
      <c r="W18" s="7"/>
      <c r="X18" s="7"/>
      <c r="Y18" s="7"/>
      <c r="Z18" s="7"/>
    </row>
    <row r="19" customHeight="1" spans="1:26">
      <c r="A19" s="7"/>
      <c r="B19" s="7"/>
      <c r="C19" s="7"/>
      <c r="D19" s="7"/>
      <c r="E19" s="7"/>
      <c r="F19" s="7"/>
      <c r="G19" s="7"/>
      <c r="H19" s="7"/>
      <c r="I19" s="7"/>
      <c r="J19" s="7"/>
      <c r="K19" s="7"/>
      <c r="L19" s="7"/>
      <c r="M19" s="7"/>
      <c r="N19" s="7"/>
      <c r="O19" s="7"/>
      <c r="P19" s="7"/>
      <c r="Q19" s="7"/>
      <c r="R19" s="7"/>
      <c r="S19" s="7"/>
      <c r="T19" s="7"/>
      <c r="U19" s="7"/>
      <c r="V19" s="7"/>
      <c r="W19" s="7"/>
      <c r="X19" s="7"/>
      <c r="Y19" s="7"/>
      <c r="Z19" s="7"/>
    </row>
    <row r="20" customHeight="1" spans="1:26">
      <c r="A20" s="7"/>
      <c r="B20" s="7"/>
      <c r="C20" s="7"/>
      <c r="D20" s="7"/>
      <c r="E20" s="7"/>
      <c r="F20" s="7"/>
      <c r="G20" s="7"/>
      <c r="H20" s="7"/>
      <c r="I20" s="7"/>
      <c r="J20" s="7"/>
      <c r="K20" s="7"/>
      <c r="L20" s="7"/>
      <c r="M20" s="7"/>
      <c r="N20" s="7"/>
      <c r="O20" s="7"/>
      <c r="P20" s="7"/>
      <c r="Q20" s="7"/>
      <c r="R20" s="7"/>
      <c r="S20" s="7"/>
      <c r="T20" s="7"/>
      <c r="U20" s="7"/>
      <c r="V20" s="7"/>
      <c r="W20" s="7"/>
      <c r="X20" s="7"/>
      <c r="Y20" s="7"/>
      <c r="Z20" s="7"/>
    </row>
    <row r="21" customHeight="1" spans="1:26">
      <c r="A21" s="7"/>
      <c r="B21" s="7"/>
      <c r="C21" s="7"/>
      <c r="D21" s="7"/>
      <c r="E21" s="7"/>
      <c r="F21" s="7"/>
      <c r="G21" s="7"/>
      <c r="H21" s="7"/>
      <c r="I21" s="7"/>
      <c r="J21" s="7"/>
      <c r="K21" s="7"/>
      <c r="L21" s="7"/>
      <c r="M21" s="7"/>
      <c r="N21" s="7"/>
      <c r="O21" s="7"/>
      <c r="P21" s="7"/>
      <c r="Q21" s="7"/>
      <c r="R21" s="7"/>
      <c r="S21" s="7"/>
      <c r="T21" s="7"/>
      <c r="U21" s="7"/>
      <c r="V21" s="7"/>
      <c r="W21" s="7"/>
      <c r="X21" s="7"/>
      <c r="Y21" s="7"/>
      <c r="Z21" s="7"/>
    </row>
    <row r="22" customHeight="1" spans="1:26">
      <c r="A22" s="7"/>
      <c r="B22" s="7"/>
      <c r="C22" s="7"/>
      <c r="D22" s="7"/>
      <c r="E22" s="7"/>
      <c r="F22" s="7"/>
      <c r="G22" s="7"/>
      <c r="H22" s="7"/>
      <c r="I22" s="7"/>
      <c r="J22" s="7"/>
      <c r="K22" s="7"/>
      <c r="L22" s="7"/>
      <c r="M22" s="7"/>
      <c r="N22" s="7"/>
      <c r="O22" s="7"/>
      <c r="P22" s="7"/>
      <c r="Q22" s="7"/>
      <c r="R22" s="7"/>
      <c r="S22" s="7"/>
      <c r="T22" s="7"/>
      <c r="U22" s="7"/>
      <c r="V22" s="7"/>
      <c r="W22" s="7"/>
      <c r="X22" s="7"/>
      <c r="Y22" s="7"/>
      <c r="Z22" s="7"/>
    </row>
    <row r="23" customHeight="1" spans="1:26">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8"/>
  <sheetViews>
    <sheetView tabSelected="1" workbookViewId="0">
      <selection activeCell="B6" sqref="B6"/>
    </sheetView>
  </sheetViews>
  <sheetFormatPr defaultColWidth="12.5714285714286" defaultRowHeight="15.75" customHeight="1"/>
  <cols>
    <col min="1" max="1" width="34.1428571428571" customWidth="1"/>
    <col min="2" max="2" width="24.8571428571429" customWidth="1"/>
  </cols>
  <sheetData>
    <row r="1" customHeight="1" spans="1:26">
      <c r="A1" s="44" t="s">
        <v>12</v>
      </c>
      <c r="B1" s="44" t="s">
        <v>13</v>
      </c>
      <c r="C1" s="7"/>
      <c r="D1" s="7"/>
      <c r="E1" s="7"/>
      <c r="F1" s="7"/>
      <c r="G1" s="7"/>
      <c r="H1" s="7"/>
      <c r="I1" s="7"/>
      <c r="J1" s="7"/>
      <c r="K1" s="7"/>
      <c r="L1" s="7"/>
      <c r="M1" s="7"/>
      <c r="N1" s="7"/>
      <c r="O1" s="7"/>
      <c r="P1" s="7"/>
      <c r="Q1" s="7"/>
      <c r="R1" s="7"/>
      <c r="S1" s="7"/>
      <c r="T1" s="7"/>
      <c r="U1" s="7"/>
      <c r="V1" s="7"/>
      <c r="W1" s="7"/>
      <c r="X1" s="7"/>
      <c r="Y1" s="7"/>
      <c r="Z1" s="7"/>
    </row>
    <row r="2" customHeight="1" spans="1:26">
      <c r="A2" s="4" t="s">
        <v>14</v>
      </c>
      <c r="B2" s="33">
        <f>'Pagos Profesionales.'!H7</f>
        <v>32500000</v>
      </c>
      <c r="C2" s="7"/>
      <c r="D2" s="7"/>
      <c r="E2" s="7"/>
      <c r="F2" s="7"/>
      <c r="G2" s="7"/>
      <c r="H2" s="7"/>
      <c r="I2" s="7"/>
      <c r="J2" s="7"/>
      <c r="K2" s="7"/>
      <c r="L2" s="7"/>
      <c r="M2" s="7"/>
      <c r="N2" s="7"/>
      <c r="O2" s="7"/>
      <c r="P2" s="7"/>
      <c r="Q2" s="7"/>
      <c r="R2" s="7"/>
      <c r="S2" s="7"/>
      <c r="T2" s="7"/>
      <c r="U2" s="7"/>
      <c r="V2" s="7"/>
      <c r="W2" s="7"/>
      <c r="X2" s="7"/>
      <c r="Y2" s="7"/>
      <c r="Z2" s="7"/>
    </row>
    <row r="3" customHeight="1" spans="1:26">
      <c r="A3" s="4" t="s">
        <v>15</v>
      </c>
      <c r="B3" s="6">
        <f>'Hadware y Software.'!E8</f>
        <v>5617000</v>
      </c>
      <c r="C3" s="7"/>
      <c r="D3" s="7"/>
      <c r="E3" s="7"/>
      <c r="F3" s="7"/>
      <c r="G3" s="7"/>
      <c r="H3" s="7"/>
      <c r="I3" s="7"/>
      <c r="J3" s="7"/>
      <c r="K3" s="7"/>
      <c r="L3" s="7"/>
      <c r="M3" s="7"/>
      <c r="N3" s="7"/>
      <c r="O3" s="7"/>
      <c r="P3" s="7"/>
      <c r="Q3" s="7"/>
      <c r="R3" s="7"/>
      <c r="S3" s="7"/>
      <c r="T3" s="7"/>
      <c r="U3" s="7"/>
      <c r="V3" s="7"/>
      <c r="W3" s="7"/>
      <c r="X3" s="7"/>
      <c r="Y3" s="7"/>
      <c r="Z3" s="7"/>
    </row>
    <row r="4" customHeight="1" spans="1:26">
      <c r="A4" s="4" t="s">
        <v>16</v>
      </c>
      <c r="B4" s="6">
        <f>'Gastos Administrativos.'!E6</f>
        <v>6200000</v>
      </c>
      <c r="C4" s="7"/>
      <c r="D4" s="7"/>
      <c r="E4" s="7"/>
      <c r="F4" s="7"/>
      <c r="G4" s="7"/>
      <c r="H4" s="7"/>
      <c r="I4" s="7"/>
      <c r="J4" s="7"/>
      <c r="K4" s="7"/>
      <c r="L4" s="7"/>
      <c r="M4" s="7"/>
      <c r="N4" s="7"/>
      <c r="O4" s="7"/>
      <c r="P4" s="7"/>
      <c r="Q4" s="7"/>
      <c r="R4" s="7"/>
      <c r="S4" s="7"/>
      <c r="T4" s="7"/>
      <c r="U4" s="7"/>
      <c r="V4" s="7"/>
      <c r="W4" s="7"/>
      <c r="X4" s="7"/>
      <c r="Y4" s="7"/>
      <c r="Z4" s="7"/>
    </row>
    <row r="5" customHeight="1" spans="1:26">
      <c r="A5" s="4" t="s">
        <v>17</v>
      </c>
      <c r="B5" s="6">
        <v>29666740</v>
      </c>
      <c r="C5" s="7"/>
      <c r="D5" s="7"/>
      <c r="E5" s="7"/>
      <c r="F5" s="7"/>
      <c r="G5" s="7"/>
      <c r="H5" s="7"/>
      <c r="I5" s="7"/>
      <c r="J5" s="7"/>
      <c r="K5" s="7"/>
      <c r="L5" s="7"/>
      <c r="M5" s="7"/>
      <c r="N5" s="7"/>
      <c r="O5" s="7"/>
      <c r="P5" s="7"/>
      <c r="Q5" s="7"/>
      <c r="R5" s="7"/>
      <c r="S5" s="7"/>
      <c r="T5" s="7"/>
      <c r="U5" s="7"/>
      <c r="V5" s="7"/>
      <c r="W5" s="7"/>
      <c r="X5" s="7"/>
      <c r="Y5" s="7"/>
      <c r="Z5" s="7"/>
    </row>
    <row r="6" customHeight="1" spans="1:26">
      <c r="A6" s="4" t="s">
        <v>18</v>
      </c>
      <c r="B6" s="6">
        <f>SUM(B2:B5)</f>
        <v>73983740</v>
      </c>
      <c r="C6" s="7"/>
      <c r="D6" s="7"/>
      <c r="E6" s="7"/>
      <c r="F6" s="7"/>
      <c r="G6" s="7"/>
      <c r="H6" s="7"/>
      <c r="I6" s="7"/>
      <c r="J6" s="7"/>
      <c r="K6" s="7"/>
      <c r="L6" s="7"/>
      <c r="M6" s="7"/>
      <c r="N6" s="7"/>
      <c r="O6" s="7"/>
      <c r="P6" s="7"/>
      <c r="Q6" s="7"/>
      <c r="R6" s="7"/>
      <c r="S6" s="7"/>
      <c r="T6" s="7"/>
      <c r="U6" s="7"/>
      <c r="V6" s="7"/>
      <c r="W6" s="7"/>
      <c r="X6" s="7"/>
      <c r="Y6" s="7"/>
      <c r="Z6" s="7"/>
    </row>
    <row r="7" customHeight="1" spans="1:26">
      <c r="A7" s="7"/>
      <c r="B7" s="7"/>
      <c r="C7" s="7"/>
      <c r="D7" s="7"/>
      <c r="E7" s="7"/>
      <c r="F7" s="7"/>
      <c r="G7" s="7"/>
      <c r="H7" s="7"/>
      <c r="I7" s="7"/>
      <c r="J7" s="7"/>
      <c r="K7" s="7"/>
      <c r="L7" s="7"/>
      <c r="M7" s="7"/>
      <c r="N7" s="7"/>
      <c r="O7" s="7"/>
      <c r="P7" s="7"/>
      <c r="Q7" s="7"/>
      <c r="R7" s="7"/>
      <c r="S7" s="7"/>
      <c r="T7" s="7"/>
      <c r="U7" s="7"/>
      <c r="V7" s="7"/>
      <c r="W7" s="7"/>
      <c r="X7" s="7"/>
      <c r="Y7" s="7"/>
      <c r="Z7" s="7"/>
    </row>
    <row r="8" customHeight="1" spans="1:26">
      <c r="A8" s="7"/>
      <c r="B8" s="7"/>
      <c r="C8" s="7"/>
      <c r="D8" s="7"/>
      <c r="E8" s="7"/>
      <c r="F8" s="7"/>
      <c r="G8" s="7"/>
      <c r="H8" s="7"/>
      <c r="I8" s="7"/>
      <c r="J8" s="7"/>
      <c r="K8" s="7"/>
      <c r="L8" s="7"/>
      <c r="M8" s="7"/>
      <c r="N8" s="7"/>
      <c r="O8" s="7"/>
      <c r="P8" s="7"/>
      <c r="Q8" s="7"/>
      <c r="R8" s="7"/>
      <c r="S8" s="7"/>
      <c r="T8" s="7"/>
      <c r="U8" s="7"/>
      <c r="V8" s="7"/>
      <c r="W8" s="7"/>
      <c r="X8" s="7"/>
      <c r="Y8" s="7"/>
      <c r="Z8" s="7"/>
    </row>
    <row r="9" customHeight="1" spans="1:26">
      <c r="A9" s="7"/>
      <c r="B9" s="7"/>
      <c r="C9" s="7"/>
      <c r="D9" s="7"/>
      <c r="E9" s="7"/>
      <c r="F9" s="7"/>
      <c r="G9" s="7"/>
      <c r="H9" s="7"/>
      <c r="I9" s="7"/>
      <c r="J9" s="7"/>
      <c r="K9" s="7"/>
      <c r="L9" s="7"/>
      <c r="M9" s="7"/>
      <c r="N9" s="7"/>
      <c r="O9" s="7"/>
      <c r="P9" s="7"/>
      <c r="Q9" s="7"/>
      <c r="R9" s="7"/>
      <c r="S9" s="7"/>
      <c r="T9" s="7"/>
      <c r="U9" s="7"/>
      <c r="V9" s="7"/>
      <c r="W9" s="7"/>
      <c r="X9" s="7"/>
      <c r="Y9" s="7"/>
      <c r="Z9" s="7"/>
    </row>
    <row r="10" customHeight="1" spans="1:26">
      <c r="A10" s="7"/>
      <c r="B10" s="7"/>
      <c r="C10" s="7"/>
      <c r="D10" s="7"/>
      <c r="E10" s="7"/>
      <c r="F10" s="7"/>
      <c r="G10" s="7"/>
      <c r="H10" s="7"/>
      <c r="I10" s="7"/>
      <c r="J10" s="7"/>
      <c r="K10" s="7"/>
      <c r="L10" s="7"/>
      <c r="M10" s="7"/>
      <c r="N10" s="7"/>
      <c r="O10" s="7"/>
      <c r="P10" s="7"/>
      <c r="Q10" s="7"/>
      <c r="R10" s="7"/>
      <c r="S10" s="7"/>
      <c r="T10" s="7"/>
      <c r="U10" s="7"/>
      <c r="V10" s="7"/>
      <c r="W10" s="7"/>
      <c r="X10" s="7"/>
      <c r="Y10" s="7"/>
      <c r="Z10" s="7"/>
    </row>
    <row r="11" customHeight="1" spans="1:26">
      <c r="A11" s="7"/>
      <c r="B11" s="7"/>
      <c r="C11" s="7"/>
      <c r="D11" s="7"/>
      <c r="E11" s="7"/>
      <c r="F11" s="7"/>
      <c r="G11" s="7"/>
      <c r="H11" s="7"/>
      <c r="I11" s="7"/>
      <c r="J11" s="7"/>
      <c r="K11" s="7"/>
      <c r="L11" s="7"/>
      <c r="M11" s="7"/>
      <c r="N11" s="7"/>
      <c r="O11" s="7"/>
      <c r="P11" s="7"/>
      <c r="Q11" s="7"/>
      <c r="R11" s="7"/>
      <c r="S11" s="7"/>
      <c r="T11" s="7"/>
      <c r="U11" s="7"/>
      <c r="V11" s="7"/>
      <c r="W11" s="7"/>
      <c r="X11" s="7"/>
      <c r="Y11" s="7"/>
      <c r="Z11" s="7"/>
    </row>
    <row r="12" customHeight="1" spans="1:26">
      <c r="A12" s="7"/>
      <c r="B12" s="7"/>
      <c r="C12" s="7"/>
      <c r="D12" s="7"/>
      <c r="E12" s="7"/>
      <c r="F12" s="7"/>
      <c r="G12" s="7"/>
      <c r="H12" s="7"/>
      <c r="I12" s="7"/>
      <c r="J12" s="7"/>
      <c r="K12" s="7"/>
      <c r="L12" s="7"/>
      <c r="M12" s="7"/>
      <c r="N12" s="7"/>
      <c r="O12" s="7"/>
      <c r="P12" s="7"/>
      <c r="Q12" s="7"/>
      <c r="R12" s="7"/>
      <c r="S12" s="7"/>
      <c r="T12" s="7"/>
      <c r="U12" s="7"/>
      <c r="V12" s="7"/>
      <c r="W12" s="7"/>
      <c r="X12" s="7"/>
      <c r="Y12" s="7"/>
      <c r="Z12" s="7"/>
    </row>
    <row r="13" customHeight="1" spans="1:26">
      <c r="A13" s="7"/>
      <c r="B13" s="7"/>
      <c r="C13" s="7"/>
      <c r="D13" s="7"/>
      <c r="E13" s="7"/>
      <c r="F13" s="7"/>
      <c r="G13" s="7"/>
      <c r="H13" s="7"/>
      <c r="I13" s="7"/>
      <c r="J13" s="7"/>
      <c r="K13" s="7"/>
      <c r="L13" s="7"/>
      <c r="M13" s="7"/>
      <c r="N13" s="7"/>
      <c r="O13" s="7"/>
      <c r="P13" s="7"/>
      <c r="Q13" s="7"/>
      <c r="R13" s="7"/>
      <c r="S13" s="7"/>
      <c r="T13" s="7"/>
      <c r="U13" s="7"/>
      <c r="V13" s="7"/>
      <c r="W13" s="7"/>
      <c r="X13" s="7"/>
      <c r="Y13" s="7"/>
      <c r="Z13" s="7"/>
    </row>
    <row r="14" customHeight="1" spans="1:26">
      <c r="A14" s="7"/>
      <c r="B14" s="7"/>
      <c r="C14" s="7"/>
      <c r="D14" s="7"/>
      <c r="E14" s="7"/>
      <c r="F14" s="7"/>
      <c r="G14" s="7"/>
      <c r="H14" s="7"/>
      <c r="I14" s="7"/>
      <c r="J14" s="7"/>
      <c r="K14" s="7"/>
      <c r="L14" s="7"/>
      <c r="M14" s="7"/>
      <c r="N14" s="7"/>
      <c r="O14" s="7"/>
      <c r="P14" s="7"/>
      <c r="Q14" s="7"/>
      <c r="R14" s="7"/>
      <c r="S14" s="7"/>
      <c r="T14" s="7"/>
      <c r="U14" s="7"/>
      <c r="V14" s="7"/>
      <c r="W14" s="7"/>
      <c r="X14" s="7"/>
      <c r="Y14" s="7"/>
      <c r="Z14" s="7"/>
    </row>
    <row r="15" customHeight="1" spans="1:26">
      <c r="A15" s="7"/>
      <c r="B15" s="7"/>
      <c r="C15" s="7"/>
      <c r="D15" s="7"/>
      <c r="E15" s="7"/>
      <c r="F15" s="7"/>
      <c r="G15" s="7"/>
      <c r="H15" s="7"/>
      <c r="I15" s="7"/>
      <c r="J15" s="7"/>
      <c r="K15" s="7"/>
      <c r="L15" s="7"/>
      <c r="M15" s="7"/>
      <c r="N15" s="7"/>
      <c r="O15" s="7"/>
      <c r="P15" s="7"/>
      <c r="Q15" s="7"/>
      <c r="R15" s="7"/>
      <c r="S15" s="7"/>
      <c r="T15" s="7"/>
      <c r="U15" s="7"/>
      <c r="V15" s="7"/>
      <c r="W15" s="7"/>
      <c r="X15" s="7"/>
      <c r="Y15" s="7"/>
      <c r="Z15" s="7"/>
    </row>
    <row r="16" customHeight="1" spans="1:26">
      <c r="A16" s="7"/>
      <c r="B16" s="7"/>
      <c r="C16" s="7"/>
      <c r="D16" s="7"/>
      <c r="E16" s="7"/>
      <c r="F16" s="7"/>
      <c r="G16" s="7"/>
      <c r="H16" s="7"/>
      <c r="I16" s="7"/>
      <c r="J16" s="7"/>
      <c r="K16" s="7"/>
      <c r="L16" s="7"/>
      <c r="M16" s="7"/>
      <c r="N16" s="7"/>
      <c r="O16" s="7"/>
      <c r="P16" s="7"/>
      <c r="Q16" s="7"/>
      <c r="R16" s="7"/>
      <c r="S16" s="7"/>
      <c r="T16" s="7"/>
      <c r="U16" s="7"/>
      <c r="V16" s="7"/>
      <c r="W16" s="7"/>
      <c r="X16" s="7"/>
      <c r="Y16" s="7"/>
      <c r="Z16" s="7"/>
    </row>
    <row r="17" customHeight="1" spans="1:26">
      <c r="A17" s="7"/>
      <c r="B17" s="7"/>
      <c r="C17" s="7"/>
      <c r="D17" s="7"/>
      <c r="E17" s="7"/>
      <c r="F17" s="7"/>
      <c r="G17" s="7"/>
      <c r="H17" s="7"/>
      <c r="I17" s="7"/>
      <c r="J17" s="7"/>
      <c r="K17" s="7"/>
      <c r="L17" s="7"/>
      <c r="M17" s="7"/>
      <c r="N17" s="7"/>
      <c r="O17" s="7"/>
      <c r="P17" s="7"/>
      <c r="Q17" s="7"/>
      <c r="R17" s="7"/>
      <c r="S17" s="7"/>
      <c r="T17" s="7"/>
      <c r="U17" s="7"/>
      <c r="V17" s="7"/>
      <c r="W17" s="7"/>
      <c r="X17" s="7"/>
      <c r="Y17" s="7"/>
      <c r="Z17" s="7"/>
    </row>
    <row r="18" customHeight="1" spans="1:26">
      <c r="A18" s="7"/>
      <c r="B18" s="7"/>
      <c r="C18" s="7"/>
      <c r="D18" s="7"/>
      <c r="E18" s="7"/>
      <c r="F18" s="7"/>
      <c r="G18" s="7"/>
      <c r="H18" s="7"/>
      <c r="I18" s="7"/>
      <c r="J18" s="7"/>
      <c r="K18" s="7"/>
      <c r="L18" s="7"/>
      <c r="M18" s="7"/>
      <c r="N18" s="7"/>
      <c r="O18" s="7"/>
      <c r="P18" s="7"/>
      <c r="Q18" s="7"/>
      <c r="R18" s="7"/>
      <c r="S18" s="7"/>
      <c r="T18" s="7"/>
      <c r="U18" s="7"/>
      <c r="V18" s="7"/>
      <c r="W18" s="7"/>
      <c r="X18" s="7"/>
      <c r="Y18" s="7"/>
      <c r="Z18" s="7"/>
    </row>
    <row r="19" customHeight="1" spans="1:26">
      <c r="A19" s="7"/>
      <c r="B19" s="7"/>
      <c r="C19" s="7"/>
      <c r="D19" s="7"/>
      <c r="E19" s="7"/>
      <c r="F19" s="7"/>
      <c r="G19" s="7"/>
      <c r="H19" s="7"/>
      <c r="I19" s="7"/>
      <c r="J19" s="7"/>
      <c r="K19" s="7"/>
      <c r="L19" s="7"/>
      <c r="M19" s="7"/>
      <c r="N19" s="7"/>
      <c r="O19" s="7"/>
      <c r="P19" s="7"/>
      <c r="Q19" s="7"/>
      <c r="R19" s="7"/>
      <c r="S19" s="7"/>
      <c r="T19" s="7"/>
      <c r="U19" s="7"/>
      <c r="V19" s="7"/>
      <c r="W19" s="7"/>
      <c r="X19" s="7"/>
      <c r="Y19" s="7"/>
      <c r="Z19" s="7"/>
    </row>
    <row r="20" customHeight="1" spans="1:26">
      <c r="A20" s="7"/>
      <c r="B20" s="7"/>
      <c r="C20" s="7"/>
      <c r="D20" s="7"/>
      <c r="E20" s="7"/>
      <c r="F20" s="7"/>
      <c r="G20" s="7"/>
      <c r="H20" s="7"/>
      <c r="I20" s="7"/>
      <c r="J20" s="7"/>
      <c r="K20" s="7"/>
      <c r="L20" s="7"/>
      <c r="M20" s="7"/>
      <c r="N20" s="7"/>
      <c r="O20" s="7"/>
      <c r="P20" s="7"/>
      <c r="Q20" s="7"/>
      <c r="R20" s="7"/>
      <c r="S20" s="7"/>
      <c r="T20" s="7"/>
      <c r="U20" s="7"/>
      <c r="V20" s="7"/>
      <c r="W20" s="7"/>
      <c r="X20" s="7"/>
      <c r="Y20" s="7"/>
      <c r="Z20" s="7"/>
    </row>
    <row r="21" customHeight="1" spans="1:26">
      <c r="A21" s="7"/>
      <c r="B21" s="7"/>
      <c r="C21" s="7"/>
      <c r="D21" s="7"/>
      <c r="E21" s="7"/>
      <c r="F21" s="7"/>
      <c r="G21" s="7"/>
      <c r="H21" s="7"/>
      <c r="I21" s="7"/>
      <c r="J21" s="7"/>
      <c r="K21" s="7"/>
      <c r="L21" s="7"/>
      <c r="M21" s="7"/>
      <c r="N21" s="7"/>
      <c r="O21" s="7"/>
      <c r="P21" s="7"/>
      <c r="Q21" s="7"/>
      <c r="R21" s="7"/>
      <c r="S21" s="7"/>
      <c r="T21" s="7"/>
      <c r="U21" s="7"/>
      <c r="V21" s="7"/>
      <c r="W21" s="7"/>
      <c r="X21" s="7"/>
      <c r="Y21" s="7"/>
      <c r="Z21" s="7"/>
    </row>
    <row r="22" customHeight="1" spans="1:26">
      <c r="A22" s="7"/>
      <c r="B22" s="7"/>
      <c r="C22" s="7"/>
      <c r="D22" s="7"/>
      <c r="E22" s="7"/>
      <c r="F22" s="7"/>
      <c r="G22" s="7"/>
      <c r="H22" s="7"/>
      <c r="I22" s="7"/>
      <c r="J22" s="7"/>
      <c r="K22" s="7"/>
      <c r="L22" s="7"/>
      <c r="M22" s="7"/>
      <c r="N22" s="7"/>
      <c r="O22" s="7"/>
      <c r="P22" s="7"/>
      <c r="Q22" s="7"/>
      <c r="R22" s="7"/>
      <c r="S22" s="7"/>
      <c r="T22" s="7"/>
      <c r="U22" s="7"/>
      <c r="V22" s="7"/>
      <c r="W22" s="7"/>
      <c r="X22" s="7"/>
      <c r="Y22" s="7"/>
      <c r="Z22" s="7"/>
    </row>
    <row r="23" customHeight="1" spans="1:26">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2"/>
  <sheetViews>
    <sheetView workbookViewId="0">
      <selection activeCell="A21" sqref="A21"/>
    </sheetView>
  </sheetViews>
  <sheetFormatPr defaultColWidth="12.5714285714286" defaultRowHeight="15.75" customHeight="1" outlineLevelCol="4"/>
  <cols>
    <col min="1" max="1" width="4.57142857142857" customWidth="1"/>
    <col min="2" max="2" width="56.4285714285714" customWidth="1"/>
    <col min="3" max="3" width="19.1428571428571" customWidth="1"/>
  </cols>
  <sheetData>
    <row r="1" customHeight="1" spans="1:5">
      <c r="A1" s="40" t="s">
        <v>19</v>
      </c>
      <c r="B1" s="41" t="s">
        <v>20</v>
      </c>
      <c r="C1" s="42" t="s">
        <v>21</v>
      </c>
      <c r="D1" s="43" t="s">
        <v>22</v>
      </c>
      <c r="E1" s="12" t="s">
        <v>23</v>
      </c>
    </row>
    <row r="2" customHeight="1" spans="1:5">
      <c r="A2" s="4">
        <v>1</v>
      </c>
      <c r="B2" s="4" t="s">
        <v>24</v>
      </c>
      <c r="C2" s="4" t="s">
        <v>25</v>
      </c>
      <c r="D2" s="46" t="s">
        <v>26</v>
      </c>
      <c r="E2" s="46" t="s">
        <v>27</v>
      </c>
    </row>
    <row r="3" customHeight="1" spans="1:5">
      <c r="A3" s="4">
        <v>1.1</v>
      </c>
      <c r="B3" s="4" t="s">
        <v>28</v>
      </c>
      <c r="C3" s="4" t="s">
        <v>25</v>
      </c>
      <c r="D3" s="46" t="s">
        <v>29</v>
      </c>
      <c r="E3" s="4" t="s">
        <v>30</v>
      </c>
    </row>
    <row r="4" customHeight="1" spans="1:5">
      <c r="A4" s="4">
        <v>1.2</v>
      </c>
      <c r="B4" s="4" t="s">
        <v>31</v>
      </c>
      <c r="C4" s="4" t="s">
        <v>25</v>
      </c>
      <c r="D4" s="4" t="s">
        <v>32</v>
      </c>
      <c r="E4" s="4" t="s">
        <v>33</v>
      </c>
    </row>
    <row r="5" customHeight="1" spans="1:5">
      <c r="A5" s="4">
        <v>2</v>
      </c>
      <c r="B5" s="4" t="s">
        <v>34</v>
      </c>
      <c r="C5" s="4" t="s">
        <v>25</v>
      </c>
      <c r="D5" s="4" t="s">
        <v>35</v>
      </c>
      <c r="E5" s="46" t="s">
        <v>36</v>
      </c>
    </row>
    <row r="6" customHeight="1" spans="1:5">
      <c r="A6" s="4">
        <v>2.1</v>
      </c>
      <c r="B6" s="4" t="s">
        <v>37</v>
      </c>
      <c r="C6" s="4" t="s">
        <v>25</v>
      </c>
      <c r="D6" s="46" t="s">
        <v>38</v>
      </c>
      <c r="E6" s="4" t="s">
        <v>39</v>
      </c>
    </row>
    <row r="7" customHeight="1" spans="1:5">
      <c r="A7" s="4">
        <v>2.2</v>
      </c>
      <c r="B7" s="4" t="s">
        <v>40</v>
      </c>
      <c r="C7" s="4" t="s">
        <v>25</v>
      </c>
      <c r="D7" s="4" t="s">
        <v>41</v>
      </c>
      <c r="E7" s="4" t="s">
        <v>42</v>
      </c>
    </row>
    <row r="8" customHeight="1" spans="1:5">
      <c r="A8" s="4">
        <v>3</v>
      </c>
      <c r="B8" s="4" t="s">
        <v>43</v>
      </c>
      <c r="C8" s="4" t="s">
        <v>44</v>
      </c>
      <c r="D8" s="4" t="s">
        <v>45</v>
      </c>
      <c r="E8" s="4" t="s">
        <v>46</v>
      </c>
    </row>
    <row r="9" customHeight="1" spans="1:5">
      <c r="A9" s="4">
        <v>3.1</v>
      </c>
      <c r="B9" s="4" t="s">
        <v>47</v>
      </c>
      <c r="C9" s="4" t="s">
        <v>44</v>
      </c>
      <c r="D9" s="46" t="s">
        <v>48</v>
      </c>
      <c r="E9" s="4" t="s">
        <v>49</v>
      </c>
    </row>
    <row r="10" customHeight="1" spans="1:5">
      <c r="A10" s="4">
        <v>4</v>
      </c>
      <c r="B10" s="4" t="s">
        <v>50</v>
      </c>
      <c r="C10" s="4" t="s">
        <v>51</v>
      </c>
      <c r="D10" s="46" t="s">
        <v>52</v>
      </c>
      <c r="E10" s="4" t="s">
        <v>53</v>
      </c>
    </row>
    <row r="11" customHeight="1" spans="1:5">
      <c r="A11" s="4">
        <v>5</v>
      </c>
      <c r="B11" s="4" t="s">
        <v>54</v>
      </c>
      <c r="C11" s="4" t="s">
        <v>55</v>
      </c>
      <c r="D11" s="4" t="s">
        <v>56</v>
      </c>
      <c r="E11" s="4" t="s">
        <v>57</v>
      </c>
    </row>
    <row r="12" customHeight="1" spans="1:5">
      <c r="A12" s="4">
        <v>6</v>
      </c>
      <c r="B12" s="4" t="s">
        <v>58</v>
      </c>
      <c r="C12" s="4" t="s">
        <v>59</v>
      </c>
      <c r="D12" s="4" t="s">
        <v>60</v>
      </c>
      <c r="E12" s="46" t="s">
        <v>61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zoomScale="80" zoomScaleNormal="80" workbookViewId="0">
      <selection activeCell="F1" sqref="F1"/>
    </sheetView>
  </sheetViews>
  <sheetFormatPr defaultColWidth="11" defaultRowHeight="12.75" outlineLevelCol="6"/>
  <cols>
    <col min="1" max="1" width="6.14285714285714" customWidth="1"/>
    <col min="2" max="2" width="7.85714285714286" customWidth="1"/>
    <col min="3" max="3" width="152.142857142857" customWidth="1"/>
    <col min="4" max="4" width="12.8571428571429" customWidth="1"/>
    <col min="5" max="5" width="11.5714285714286" customWidth="1"/>
    <col min="6" max="6" width="11.2857142857143" customWidth="1"/>
    <col min="7" max="7" width="50.7142857142857" customWidth="1"/>
  </cols>
  <sheetData>
    <row r="1" ht="16.5" spans="1:7">
      <c r="A1" s="36" t="s">
        <v>62</v>
      </c>
      <c r="B1" s="36" t="s">
        <v>63</v>
      </c>
      <c r="C1" s="36" t="s">
        <v>64</v>
      </c>
      <c r="D1" s="36" t="s">
        <v>65</v>
      </c>
      <c r="E1" s="36" t="s">
        <v>22</v>
      </c>
      <c r="F1" s="36" t="s">
        <v>23</v>
      </c>
      <c r="G1" s="37"/>
    </row>
    <row r="2" ht="16.5" spans="1:7">
      <c r="A2" s="38" t="s">
        <v>66</v>
      </c>
      <c r="B2" s="38">
        <v>1</v>
      </c>
      <c r="C2" s="38" t="s">
        <v>67</v>
      </c>
      <c r="D2" s="38" t="s">
        <v>68</v>
      </c>
      <c r="E2" s="39">
        <v>46213</v>
      </c>
      <c r="F2" s="39">
        <v>46219</v>
      </c>
      <c r="G2" s="37"/>
    </row>
    <row r="3" ht="16.5" spans="1:7">
      <c r="A3" s="38"/>
      <c r="B3" s="38"/>
      <c r="C3" s="38" t="s">
        <v>69</v>
      </c>
      <c r="D3" s="38"/>
      <c r="E3" s="39"/>
      <c r="F3" s="39"/>
      <c r="G3" s="37"/>
    </row>
    <row r="4" ht="16.5" spans="1:7">
      <c r="A4" s="38" t="s">
        <v>66</v>
      </c>
      <c r="B4" s="38">
        <v>2</v>
      </c>
      <c r="C4" s="38" t="s">
        <v>70</v>
      </c>
      <c r="D4" s="38" t="s">
        <v>68</v>
      </c>
      <c r="E4" s="39">
        <v>46220</v>
      </c>
      <c r="F4" s="39">
        <v>46226</v>
      </c>
      <c r="G4" s="37"/>
    </row>
    <row r="5" ht="16.5" spans="1:7">
      <c r="A5" s="38"/>
      <c r="B5" s="38"/>
      <c r="C5" s="38" t="s">
        <v>71</v>
      </c>
      <c r="D5" s="38"/>
      <c r="E5" s="39"/>
      <c r="F5" s="39"/>
      <c r="G5" s="37"/>
    </row>
    <row r="6" ht="16.5" spans="1:7">
      <c r="A6" s="38" t="s">
        <v>72</v>
      </c>
      <c r="B6" s="38">
        <v>3</v>
      </c>
      <c r="C6" s="38" t="s">
        <v>73</v>
      </c>
      <c r="D6" s="38" t="s">
        <v>68</v>
      </c>
      <c r="E6" s="39">
        <v>46227</v>
      </c>
      <c r="F6" s="39">
        <v>46233</v>
      </c>
      <c r="G6" s="37"/>
    </row>
    <row r="7" ht="16.5" spans="1:7">
      <c r="A7" s="38"/>
      <c r="B7" s="38"/>
      <c r="C7" s="38" t="s">
        <v>69</v>
      </c>
      <c r="D7" s="38"/>
      <c r="E7" s="39"/>
      <c r="F7" s="39"/>
      <c r="G7" s="37"/>
    </row>
    <row r="8" ht="16.5" spans="1:7">
      <c r="A8" s="38" t="s">
        <v>72</v>
      </c>
      <c r="B8" s="38">
        <v>4</v>
      </c>
      <c r="C8" s="38" t="s">
        <v>74</v>
      </c>
      <c r="D8" s="38" t="s">
        <v>68</v>
      </c>
      <c r="E8" s="39">
        <v>46234</v>
      </c>
      <c r="F8" s="39">
        <v>46240</v>
      </c>
      <c r="G8" s="37"/>
    </row>
    <row r="9" ht="16.5" spans="1:7">
      <c r="A9" s="38"/>
      <c r="B9" s="38"/>
      <c r="C9" s="38" t="s">
        <v>71</v>
      </c>
      <c r="D9" s="38"/>
      <c r="E9" s="39"/>
      <c r="F9" s="39"/>
      <c r="G9" s="37"/>
    </row>
    <row r="10" ht="16.5" spans="1:7">
      <c r="A10" s="38" t="s">
        <v>75</v>
      </c>
      <c r="B10" s="38">
        <v>5</v>
      </c>
      <c r="C10" s="38" t="s">
        <v>76</v>
      </c>
      <c r="D10" s="38" t="s">
        <v>68</v>
      </c>
      <c r="E10" s="39">
        <v>46241</v>
      </c>
      <c r="F10" s="39">
        <v>46247</v>
      </c>
      <c r="G10" s="37"/>
    </row>
    <row r="11" ht="16.5" spans="1:7">
      <c r="A11" s="38"/>
      <c r="B11" s="38"/>
      <c r="C11" s="38" t="s">
        <v>69</v>
      </c>
      <c r="D11" s="38"/>
      <c r="E11" s="39"/>
      <c r="F11" s="39"/>
      <c r="G11" s="37"/>
    </row>
    <row r="12" ht="16.5" spans="1:7">
      <c r="A12" s="38" t="s">
        <v>75</v>
      </c>
      <c r="B12" s="38">
        <v>6</v>
      </c>
      <c r="C12" s="38" t="s">
        <v>77</v>
      </c>
      <c r="D12" s="38" t="s">
        <v>68</v>
      </c>
      <c r="E12" s="39">
        <v>46248</v>
      </c>
      <c r="F12" s="39">
        <v>46254</v>
      </c>
      <c r="G12" s="37"/>
    </row>
    <row r="13" ht="16.5" spans="1:7">
      <c r="A13" s="38"/>
      <c r="B13" s="38"/>
      <c r="C13" s="38" t="s">
        <v>71</v>
      </c>
      <c r="D13" s="38"/>
      <c r="E13" s="39"/>
      <c r="F13" s="39"/>
      <c r="G13" s="37"/>
    </row>
    <row r="14" ht="16.5" spans="1:7">
      <c r="A14" s="38" t="s">
        <v>78</v>
      </c>
      <c r="B14" s="38">
        <v>7</v>
      </c>
      <c r="C14" s="38" t="s">
        <v>79</v>
      </c>
      <c r="D14" s="38" t="s">
        <v>68</v>
      </c>
      <c r="E14" s="39">
        <v>46255</v>
      </c>
      <c r="F14" s="39">
        <v>46261</v>
      </c>
      <c r="G14" s="37"/>
    </row>
    <row r="15" ht="16.5" spans="1:7">
      <c r="A15" s="38"/>
      <c r="B15" s="38"/>
      <c r="C15" s="38" t="s">
        <v>69</v>
      </c>
      <c r="D15" s="38"/>
      <c r="E15" s="39"/>
      <c r="F15" s="39"/>
      <c r="G15" s="37"/>
    </row>
    <row r="16" ht="16.5" spans="1:7">
      <c r="A16" s="38" t="s">
        <v>78</v>
      </c>
      <c r="B16" s="38">
        <v>8</v>
      </c>
      <c r="C16" s="38" t="s">
        <v>80</v>
      </c>
      <c r="D16" s="38" t="s">
        <v>68</v>
      </c>
      <c r="E16" s="39">
        <v>46262</v>
      </c>
      <c r="F16" s="39">
        <v>46268</v>
      </c>
      <c r="G16" s="37"/>
    </row>
    <row r="17" ht="16.5" spans="1:7">
      <c r="A17" s="38"/>
      <c r="B17" s="38"/>
      <c r="C17" s="38" t="s">
        <v>71</v>
      </c>
      <c r="D17" s="38"/>
      <c r="E17" s="39"/>
      <c r="F17" s="39"/>
      <c r="G17" s="37"/>
    </row>
    <row r="18" ht="16.5" spans="1:7">
      <c r="A18" s="38" t="s">
        <v>81</v>
      </c>
      <c r="B18" s="38">
        <v>9</v>
      </c>
      <c r="C18" s="38" t="s">
        <v>82</v>
      </c>
      <c r="D18" s="38" t="s">
        <v>68</v>
      </c>
      <c r="E18" s="39">
        <v>46269</v>
      </c>
      <c r="F18" s="39">
        <v>46275</v>
      </c>
      <c r="G18" s="37"/>
    </row>
    <row r="19" ht="16.5" spans="1:7">
      <c r="A19" s="38"/>
      <c r="B19" s="38"/>
      <c r="C19" s="38" t="s">
        <v>69</v>
      </c>
      <c r="D19" s="38"/>
      <c r="E19" s="39"/>
      <c r="F19" s="39"/>
      <c r="G19" s="37"/>
    </row>
    <row r="20" ht="16.5" spans="1:7">
      <c r="A20" s="38" t="s">
        <v>81</v>
      </c>
      <c r="B20" s="38">
        <v>10</v>
      </c>
      <c r="C20" s="38" t="s">
        <v>83</v>
      </c>
      <c r="D20" s="38" t="s">
        <v>68</v>
      </c>
      <c r="E20" s="39">
        <v>46276</v>
      </c>
      <c r="F20" s="39">
        <v>46282</v>
      </c>
      <c r="G20" s="37"/>
    </row>
    <row r="21" ht="16.5" spans="1:7">
      <c r="A21" s="38"/>
      <c r="B21" s="38"/>
      <c r="C21" s="38" t="s">
        <v>71</v>
      </c>
      <c r="D21" s="38"/>
      <c r="E21" s="39"/>
      <c r="F21" s="39"/>
      <c r="G21" s="37"/>
    </row>
    <row r="22" ht="16.5" spans="1:7">
      <c r="A22" s="38" t="s">
        <v>84</v>
      </c>
      <c r="B22" s="38">
        <v>11</v>
      </c>
      <c r="C22" s="38" t="s">
        <v>85</v>
      </c>
      <c r="D22" s="38" t="s">
        <v>68</v>
      </c>
      <c r="E22" s="39">
        <v>46283</v>
      </c>
      <c r="F22" s="39">
        <v>46289</v>
      </c>
      <c r="G22" s="37"/>
    </row>
    <row r="23" ht="16.5" spans="1:7">
      <c r="A23" s="38"/>
      <c r="B23" s="38"/>
      <c r="C23" s="38" t="s">
        <v>69</v>
      </c>
      <c r="D23" s="38"/>
      <c r="E23" s="39"/>
      <c r="F23" s="39"/>
      <c r="G23" s="37"/>
    </row>
    <row r="24" ht="16.5" spans="1:7">
      <c r="A24" s="38" t="s">
        <v>84</v>
      </c>
      <c r="B24" s="38">
        <v>12</v>
      </c>
      <c r="C24" s="38" t="s">
        <v>86</v>
      </c>
      <c r="D24" s="38" t="s">
        <v>68</v>
      </c>
      <c r="E24" s="39">
        <v>46290</v>
      </c>
      <c r="F24" s="39">
        <v>46296</v>
      </c>
      <c r="G24" s="37"/>
    </row>
    <row r="25" ht="16.5" spans="1:7">
      <c r="A25" s="38"/>
      <c r="B25" s="38"/>
      <c r="C25" s="38" t="s">
        <v>71</v>
      </c>
      <c r="D25" s="38"/>
      <c r="E25" s="39"/>
      <c r="F25" s="39"/>
      <c r="G25" s="37"/>
    </row>
    <row r="26" ht="16.5" spans="1:7">
      <c r="A26" s="38" t="s">
        <v>87</v>
      </c>
      <c r="B26" s="38">
        <v>13</v>
      </c>
      <c r="C26" s="38" t="s">
        <v>88</v>
      </c>
      <c r="D26" s="38" t="s">
        <v>68</v>
      </c>
      <c r="E26" s="39">
        <v>46297</v>
      </c>
      <c r="F26" s="39">
        <v>46303</v>
      </c>
      <c r="G26" s="37"/>
    </row>
    <row r="27" ht="16.5" spans="1:7">
      <c r="A27" s="38"/>
      <c r="B27" s="38"/>
      <c r="C27" s="38" t="s">
        <v>69</v>
      </c>
      <c r="D27" s="38"/>
      <c r="E27" s="39"/>
      <c r="F27" s="39"/>
      <c r="G27" s="37"/>
    </row>
    <row r="28" ht="16.5" spans="1:7">
      <c r="A28" s="38" t="s">
        <v>87</v>
      </c>
      <c r="B28" s="38">
        <v>14</v>
      </c>
      <c r="C28" s="38" t="s">
        <v>89</v>
      </c>
      <c r="D28" s="38" t="s">
        <v>68</v>
      </c>
      <c r="E28" s="39">
        <v>46304</v>
      </c>
      <c r="F28" s="39">
        <v>46310</v>
      </c>
      <c r="G28" s="37"/>
    </row>
    <row r="29" ht="16.5" spans="1:7">
      <c r="A29" s="38"/>
      <c r="B29" s="38"/>
      <c r="C29" s="38" t="s">
        <v>71</v>
      </c>
      <c r="D29" s="38"/>
      <c r="E29" s="39"/>
      <c r="F29" s="39"/>
      <c r="G29" s="37"/>
    </row>
    <row r="30" ht="16.5" spans="1:7">
      <c r="A30" s="38" t="s">
        <v>90</v>
      </c>
      <c r="B30" s="38">
        <v>15</v>
      </c>
      <c r="C30" s="38" t="s">
        <v>91</v>
      </c>
      <c r="D30" s="38" t="s">
        <v>68</v>
      </c>
      <c r="E30" s="39">
        <v>46311</v>
      </c>
      <c r="F30" s="39">
        <v>46317</v>
      </c>
      <c r="G30" s="37"/>
    </row>
    <row r="31" ht="16.5" spans="1:7">
      <c r="A31" s="38"/>
      <c r="B31" s="38"/>
      <c r="C31" s="38" t="s">
        <v>69</v>
      </c>
      <c r="D31" s="38"/>
      <c r="E31" s="39"/>
      <c r="F31" s="39"/>
      <c r="G31" s="37"/>
    </row>
    <row r="32" ht="16.5" spans="1:7">
      <c r="A32" s="38" t="s">
        <v>90</v>
      </c>
      <c r="B32" s="38">
        <v>16</v>
      </c>
      <c r="C32" s="38" t="s">
        <v>92</v>
      </c>
      <c r="D32" s="38" t="s">
        <v>68</v>
      </c>
      <c r="E32" s="39">
        <v>46318</v>
      </c>
      <c r="F32" s="39">
        <v>46325</v>
      </c>
      <c r="G32" s="37"/>
    </row>
    <row r="33" ht="15.75" spans="3:3">
      <c r="C33" s="38" t="s">
        <v>71</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selection activeCell="L2" sqref="L2"/>
    </sheetView>
  </sheetViews>
  <sheetFormatPr defaultColWidth="12.5714285714286" defaultRowHeight="15.75" customHeight="1"/>
  <cols>
    <col min="1" max="1" width="8.14285714285714" customWidth="1"/>
    <col min="2" max="2" width="21.5714285714286" customWidth="1"/>
    <col min="3" max="3" width="8.28571428571429" customWidth="1"/>
    <col min="4" max="4" width="16.5714285714286" customWidth="1"/>
    <col min="5" max="5" width="14.7142857142857" customWidth="1"/>
    <col min="6" max="6" width="23.2857142857143" customWidth="1"/>
    <col min="7" max="7" width="4.57142857142857" customWidth="1"/>
    <col min="8" max="8" width="23.5714285714286" customWidth="1"/>
  </cols>
  <sheetData>
    <row r="1" customHeight="1" spans="1:26">
      <c r="A1" s="30" t="s">
        <v>19</v>
      </c>
      <c r="B1" s="30" t="s">
        <v>93</v>
      </c>
      <c r="C1" s="30" t="s">
        <v>94</v>
      </c>
      <c r="D1" s="30" t="s">
        <v>95</v>
      </c>
      <c r="E1" s="30" t="s">
        <v>96</v>
      </c>
      <c r="F1" s="31" t="s">
        <v>97</v>
      </c>
      <c r="G1" s="30" t="s">
        <v>98</v>
      </c>
      <c r="H1" s="30" t="s">
        <v>99</v>
      </c>
      <c r="I1" s="3"/>
      <c r="J1" s="3"/>
      <c r="K1" s="3"/>
      <c r="L1" s="3"/>
      <c r="M1" s="3"/>
      <c r="N1" s="3"/>
      <c r="O1" s="3"/>
      <c r="P1" s="3"/>
      <c r="Q1" s="3"/>
      <c r="R1" s="3"/>
      <c r="S1" s="3"/>
      <c r="T1" s="3"/>
      <c r="U1" s="3"/>
      <c r="V1" s="3"/>
      <c r="W1" s="3"/>
      <c r="X1" s="3"/>
      <c r="Y1" s="3"/>
      <c r="Z1" s="3"/>
    </row>
    <row r="2" customHeight="1" spans="1:26">
      <c r="A2" s="20">
        <v>3.1</v>
      </c>
      <c r="B2" s="20" t="s">
        <v>100</v>
      </c>
      <c r="C2" s="20">
        <v>1</v>
      </c>
      <c r="D2" s="23">
        <v>8000000</v>
      </c>
      <c r="E2" s="23">
        <f>D2/G2</f>
        <v>53333.3333333333</v>
      </c>
      <c r="F2" s="32">
        <f>D2/F14</f>
        <v>7619.04761904762</v>
      </c>
      <c r="G2" s="20">
        <v>150</v>
      </c>
      <c r="H2" s="33">
        <f>E2*G2</f>
        <v>8000000</v>
      </c>
      <c r="I2" s="3"/>
      <c r="J2" s="3"/>
      <c r="K2" s="3"/>
      <c r="L2" s="3"/>
      <c r="M2" s="3"/>
      <c r="N2" s="3"/>
      <c r="O2" s="3"/>
      <c r="P2" s="3"/>
      <c r="Q2" s="3"/>
      <c r="R2" s="3"/>
      <c r="S2" s="3"/>
      <c r="T2" s="3"/>
      <c r="U2" s="3"/>
      <c r="V2" s="3"/>
      <c r="W2" s="3"/>
      <c r="X2" s="3"/>
      <c r="Y2" s="3"/>
      <c r="Z2" s="3"/>
    </row>
    <row r="3" customHeight="1" spans="1:26">
      <c r="A3" s="20">
        <v>3.2</v>
      </c>
      <c r="B3" s="20" t="s">
        <v>101</v>
      </c>
      <c r="C3" s="20">
        <v>1</v>
      </c>
      <c r="D3" s="23">
        <v>7500000</v>
      </c>
      <c r="E3" s="23">
        <f t="shared" ref="E3:E6" si="0">D3/G3</f>
        <v>125000</v>
      </c>
      <c r="F3" s="32">
        <f t="shared" ref="F3:F6" si="1">D3/F15</f>
        <v>17857.1428571429</v>
      </c>
      <c r="G3" s="20">
        <v>60</v>
      </c>
      <c r="H3" s="33">
        <f t="shared" ref="H3:H6" si="2">E3*G3</f>
        <v>7500000</v>
      </c>
      <c r="I3" s="3"/>
      <c r="J3" s="3"/>
      <c r="K3" s="3"/>
      <c r="L3" s="3"/>
      <c r="M3" s="3"/>
      <c r="N3" s="3"/>
      <c r="O3" s="3"/>
      <c r="P3" s="3"/>
      <c r="Q3" s="3"/>
      <c r="R3" s="3"/>
      <c r="S3" s="3"/>
      <c r="T3" s="3"/>
      <c r="U3" s="3"/>
      <c r="V3" s="3"/>
      <c r="W3" s="3"/>
      <c r="X3" s="3"/>
      <c r="Y3" s="3"/>
      <c r="Z3" s="3"/>
    </row>
    <row r="4" customHeight="1" spans="1:26">
      <c r="A4" s="20">
        <v>3.3</v>
      </c>
      <c r="B4" s="20" t="s">
        <v>102</v>
      </c>
      <c r="C4" s="20">
        <v>1</v>
      </c>
      <c r="D4" s="23">
        <v>6000000</v>
      </c>
      <c r="E4" s="23">
        <f t="shared" si="0"/>
        <v>50000</v>
      </c>
      <c r="F4" s="32">
        <f t="shared" si="1"/>
        <v>7142.85714285714</v>
      </c>
      <c r="G4" s="20">
        <v>120</v>
      </c>
      <c r="H4" s="33">
        <f t="shared" si="2"/>
        <v>6000000</v>
      </c>
      <c r="I4" s="3"/>
      <c r="J4" s="3"/>
      <c r="K4" s="3"/>
      <c r="L4" s="3"/>
      <c r="M4" s="3"/>
      <c r="N4" s="3"/>
      <c r="O4" s="3"/>
      <c r="P4" s="3"/>
      <c r="Q4" s="3"/>
      <c r="R4" s="3"/>
      <c r="S4" s="3"/>
      <c r="T4" s="3"/>
      <c r="U4" s="3"/>
      <c r="V4" s="3"/>
      <c r="W4" s="3"/>
      <c r="X4" s="3"/>
      <c r="Y4" s="3"/>
      <c r="Z4" s="3"/>
    </row>
    <row r="5" customHeight="1" spans="1:26">
      <c r="A5" s="20">
        <v>3.4</v>
      </c>
      <c r="B5" s="20" t="s">
        <v>51</v>
      </c>
      <c r="C5" s="20">
        <v>1</v>
      </c>
      <c r="D5" s="23">
        <v>6500000</v>
      </c>
      <c r="E5" s="23">
        <f t="shared" si="0"/>
        <v>30952.380952381</v>
      </c>
      <c r="F5" s="32">
        <f t="shared" si="1"/>
        <v>4421.76870748299</v>
      </c>
      <c r="G5" s="20">
        <v>210</v>
      </c>
      <c r="H5" s="33">
        <f t="shared" si="2"/>
        <v>6500000</v>
      </c>
      <c r="I5" s="3"/>
      <c r="J5" s="3"/>
      <c r="K5" s="3"/>
      <c r="L5" s="3"/>
      <c r="M5" s="3"/>
      <c r="N5" s="3"/>
      <c r="O5" s="3"/>
      <c r="P5" s="3"/>
      <c r="Q5" s="3"/>
      <c r="R5" s="3"/>
      <c r="S5" s="3"/>
      <c r="T5" s="3"/>
      <c r="U5" s="3"/>
      <c r="V5" s="3"/>
      <c r="W5" s="3"/>
      <c r="X5" s="3"/>
      <c r="Y5" s="3"/>
      <c r="Z5" s="3"/>
    </row>
    <row r="6" customHeight="1" spans="1:26">
      <c r="A6" s="20">
        <v>3.5</v>
      </c>
      <c r="B6" s="20" t="s">
        <v>55</v>
      </c>
      <c r="C6" s="20">
        <v>1</v>
      </c>
      <c r="D6" s="23">
        <v>4500000</v>
      </c>
      <c r="E6" s="23">
        <f t="shared" si="0"/>
        <v>60000</v>
      </c>
      <c r="F6" s="32">
        <f t="shared" si="1"/>
        <v>1045.29616724739</v>
      </c>
      <c r="G6" s="20">
        <v>75</v>
      </c>
      <c r="H6" s="33">
        <f t="shared" si="2"/>
        <v>4500000</v>
      </c>
      <c r="I6" s="3"/>
      <c r="J6" s="3"/>
      <c r="K6" s="3"/>
      <c r="L6" s="3"/>
      <c r="M6" s="3"/>
      <c r="N6" s="3"/>
      <c r="O6" s="3"/>
      <c r="P6" s="3"/>
      <c r="Q6" s="3"/>
      <c r="R6" s="3"/>
      <c r="S6" s="3"/>
      <c r="T6" s="3"/>
      <c r="U6" s="3"/>
      <c r="V6" s="3"/>
      <c r="W6" s="3"/>
      <c r="X6" s="3"/>
      <c r="Y6" s="3"/>
      <c r="Z6" s="3"/>
    </row>
    <row r="7" customHeight="1" spans="1:26">
      <c r="A7" s="20" t="s">
        <v>103</v>
      </c>
      <c r="B7" s="22" t="s">
        <v>104</v>
      </c>
      <c r="C7" s="3" t="s">
        <v>105</v>
      </c>
      <c r="D7" s="3" t="s">
        <v>105</v>
      </c>
      <c r="E7" s="3" t="s">
        <v>105</v>
      </c>
      <c r="F7" s="3" t="s">
        <v>105</v>
      </c>
      <c r="G7" s="20">
        <v>615</v>
      </c>
      <c r="H7" s="33">
        <f>SUM(H2:H6)</f>
        <v>32500000</v>
      </c>
      <c r="I7" s="3"/>
      <c r="J7" s="3"/>
      <c r="K7" s="3"/>
      <c r="L7" s="3"/>
      <c r="M7" s="3"/>
      <c r="N7" s="3"/>
      <c r="O7" s="3"/>
      <c r="P7" s="3"/>
      <c r="Q7" s="3"/>
      <c r="R7" s="3"/>
      <c r="S7" s="3"/>
      <c r="T7" s="3"/>
      <c r="U7" s="3"/>
      <c r="V7" s="3"/>
      <c r="W7" s="3"/>
      <c r="X7" s="3"/>
      <c r="Y7" s="3"/>
      <c r="Z7" s="3"/>
    </row>
    <row r="8" customHeight="1" spans="1:26">
      <c r="A8" s="3"/>
      <c r="B8" s="3"/>
      <c r="C8" s="3"/>
      <c r="D8" s="3"/>
      <c r="E8" s="3"/>
      <c r="F8" s="3"/>
      <c r="G8" s="3"/>
      <c r="H8" s="3"/>
      <c r="I8" s="3"/>
      <c r="J8" s="3"/>
      <c r="K8" s="3"/>
      <c r="L8" s="3"/>
      <c r="M8" s="3"/>
      <c r="N8" s="3"/>
      <c r="O8" s="3"/>
      <c r="P8" s="3"/>
      <c r="Q8" s="3"/>
      <c r="R8" s="3"/>
      <c r="S8" s="3"/>
      <c r="T8" s="3"/>
      <c r="U8" s="3"/>
      <c r="V8" s="3"/>
      <c r="W8" s="3"/>
      <c r="X8" s="3"/>
      <c r="Y8" s="3"/>
      <c r="Z8" s="3"/>
    </row>
    <row r="9" customHeight="1" spans="1:26">
      <c r="A9" s="3"/>
      <c r="B9" s="3"/>
      <c r="C9" s="3"/>
      <c r="D9" s="3"/>
      <c r="E9" s="3"/>
      <c r="F9" s="3"/>
      <c r="G9" s="3"/>
      <c r="H9" s="3"/>
      <c r="I9" s="3"/>
      <c r="J9" s="3"/>
      <c r="K9" s="3"/>
      <c r="L9" s="3"/>
      <c r="M9" s="3"/>
      <c r="N9" s="3"/>
      <c r="O9" s="3"/>
      <c r="P9" s="3"/>
      <c r="Q9" s="3"/>
      <c r="R9" s="3"/>
      <c r="S9" s="3"/>
      <c r="T9" s="3"/>
      <c r="U9" s="3"/>
      <c r="V9" s="3"/>
      <c r="W9" s="3"/>
      <c r="X9" s="3"/>
      <c r="Y9" s="3"/>
      <c r="Z9" s="3"/>
    </row>
    <row r="10" customHeight="1"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customHeight="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customHeight="1" spans="1:26">
      <c r="A12" s="3"/>
      <c r="B12" s="3"/>
      <c r="C12" s="3"/>
      <c r="D12" s="3"/>
      <c r="E12" s="3"/>
      <c r="F12" s="34" t="s">
        <v>106</v>
      </c>
      <c r="G12" s="3"/>
      <c r="H12" s="3" t="s">
        <v>107</v>
      </c>
      <c r="I12" s="3"/>
      <c r="J12" s="3"/>
      <c r="K12" s="3"/>
      <c r="L12" s="3"/>
      <c r="M12" s="3"/>
      <c r="N12" s="3"/>
      <c r="O12" s="3"/>
      <c r="P12" s="3"/>
      <c r="Q12" s="3"/>
      <c r="R12" s="3"/>
      <c r="S12" s="3"/>
      <c r="T12" s="3"/>
      <c r="U12" s="3"/>
      <c r="V12" s="3"/>
      <c r="W12" s="3"/>
      <c r="X12" s="3"/>
      <c r="Y12" s="3"/>
      <c r="Z12" s="3"/>
    </row>
    <row r="13" customHeight="1" spans="1:26">
      <c r="A13" s="3"/>
      <c r="B13" s="3"/>
      <c r="C13" s="3"/>
      <c r="D13" s="3"/>
      <c r="E13" s="3"/>
      <c r="F13" s="35">
        <v>7</v>
      </c>
      <c r="G13" s="3"/>
      <c r="H13" s="3" t="s">
        <v>108</v>
      </c>
      <c r="I13" s="3"/>
      <c r="J13" s="3"/>
      <c r="K13" s="3"/>
      <c r="L13" s="3"/>
      <c r="M13" s="3"/>
      <c r="N13" s="3"/>
      <c r="O13" s="3"/>
      <c r="P13" s="3"/>
      <c r="Q13" s="3"/>
      <c r="R13" s="3"/>
      <c r="S13" s="3"/>
      <c r="T13" s="3"/>
      <c r="U13" s="3"/>
      <c r="V13" s="3"/>
      <c r="W13" s="3"/>
      <c r="X13" s="3"/>
      <c r="Y13" s="3"/>
      <c r="Z13" s="3"/>
    </row>
    <row r="14" customHeight="1" spans="1:26">
      <c r="A14" s="3"/>
      <c r="B14" s="3"/>
      <c r="C14" s="3"/>
      <c r="D14" s="3"/>
      <c r="E14" s="3"/>
      <c r="F14" s="35">
        <f>F13*G2</f>
        <v>1050</v>
      </c>
      <c r="G14" s="3"/>
      <c r="H14" s="3"/>
      <c r="I14" s="3"/>
      <c r="J14" s="3"/>
      <c r="K14" s="3"/>
      <c r="L14" s="3"/>
      <c r="M14" s="3"/>
      <c r="N14" s="3"/>
      <c r="O14" s="3"/>
      <c r="P14" s="3"/>
      <c r="Q14" s="3"/>
      <c r="R14" s="3"/>
      <c r="S14" s="3"/>
      <c r="T14" s="3"/>
      <c r="U14" s="3"/>
      <c r="V14" s="3"/>
      <c r="W14" s="3"/>
      <c r="X14" s="3"/>
      <c r="Y14" s="3"/>
      <c r="Z14" s="3"/>
    </row>
    <row r="15" customHeight="1" spans="1:26">
      <c r="A15" s="3"/>
      <c r="B15" s="3"/>
      <c r="C15" s="3"/>
      <c r="D15" s="3"/>
      <c r="E15" s="3"/>
      <c r="F15" s="35">
        <f>F13*G3</f>
        <v>420</v>
      </c>
      <c r="G15" s="3"/>
      <c r="H15" s="3"/>
      <c r="I15" s="3"/>
      <c r="J15" s="3"/>
      <c r="K15" s="3"/>
      <c r="L15" s="3"/>
      <c r="M15" s="3"/>
      <c r="N15" s="3"/>
      <c r="O15" s="3"/>
      <c r="P15" s="3"/>
      <c r="Q15" s="3"/>
      <c r="R15" s="3"/>
      <c r="S15" s="3"/>
      <c r="T15" s="3"/>
      <c r="U15" s="3"/>
      <c r="V15" s="3"/>
      <c r="W15" s="3"/>
      <c r="X15" s="3"/>
      <c r="Y15" s="3"/>
      <c r="Z15" s="3"/>
    </row>
    <row r="16" customHeight="1" spans="1:26">
      <c r="A16" s="3"/>
      <c r="B16" s="3"/>
      <c r="C16" s="3"/>
      <c r="D16" s="3"/>
      <c r="E16" s="3"/>
      <c r="F16" s="35">
        <f>F13*G4</f>
        <v>840</v>
      </c>
      <c r="G16" s="3"/>
      <c r="H16" s="3" t="s">
        <v>109</v>
      </c>
      <c r="I16" s="3"/>
      <c r="J16" s="3"/>
      <c r="K16" s="3"/>
      <c r="L16" s="3"/>
      <c r="M16" s="3"/>
      <c r="N16" s="3"/>
      <c r="O16" s="3"/>
      <c r="P16" s="3"/>
      <c r="Q16" s="3"/>
      <c r="R16" s="3"/>
      <c r="S16" s="3"/>
      <c r="T16" s="3"/>
      <c r="U16" s="3"/>
      <c r="V16" s="3"/>
      <c r="W16" s="3"/>
      <c r="X16" s="3"/>
      <c r="Y16" s="3"/>
      <c r="Z16" s="3"/>
    </row>
    <row r="17" customHeight="1" spans="1:26">
      <c r="A17" s="3"/>
      <c r="B17" s="3"/>
      <c r="C17" s="3"/>
      <c r="D17" s="3"/>
      <c r="E17" s="3"/>
      <c r="F17" s="35">
        <f>F13*G5</f>
        <v>1470</v>
      </c>
      <c r="G17" s="3"/>
      <c r="H17" s="3"/>
      <c r="I17" s="3"/>
      <c r="J17" s="3"/>
      <c r="K17" s="3"/>
      <c r="L17" s="3"/>
      <c r="M17" s="3"/>
      <c r="N17" s="3"/>
      <c r="O17" s="3"/>
      <c r="P17" s="3"/>
      <c r="Q17" s="3"/>
      <c r="R17" s="3"/>
      <c r="S17" s="3"/>
      <c r="T17" s="3"/>
      <c r="U17" s="3"/>
      <c r="V17" s="3"/>
      <c r="W17" s="3"/>
      <c r="X17" s="3"/>
      <c r="Y17" s="3"/>
      <c r="Z17" s="3"/>
    </row>
    <row r="18" customHeight="1" spans="1:26">
      <c r="A18" s="3"/>
      <c r="B18" s="3"/>
      <c r="C18" s="3"/>
      <c r="D18" s="3"/>
      <c r="E18" s="3"/>
      <c r="F18" s="35">
        <f>F13*G7</f>
        <v>4305</v>
      </c>
      <c r="G18" s="3"/>
      <c r="H18" s="3"/>
      <c r="I18" s="3"/>
      <c r="J18" s="3"/>
      <c r="K18" s="3"/>
      <c r="L18" s="3"/>
      <c r="M18" s="3"/>
      <c r="N18" s="3"/>
      <c r="O18" s="3"/>
      <c r="P18" s="3"/>
      <c r="Q18" s="3"/>
      <c r="R18" s="3"/>
      <c r="S18" s="3"/>
      <c r="T18" s="3"/>
      <c r="U18" s="3"/>
      <c r="V18" s="3"/>
      <c r="W18" s="3"/>
      <c r="X18" s="3"/>
      <c r="Y18" s="3"/>
      <c r="Z18" s="3"/>
    </row>
    <row r="19" customHeight="1"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customHeight="1"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customHeight="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customHeight="1"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customHeight="1"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999"/>
  <sheetViews>
    <sheetView zoomScale="90" zoomScaleNormal="90" topLeftCell="A4" workbookViewId="0">
      <selection activeCell="E8" sqref="E8"/>
    </sheetView>
  </sheetViews>
  <sheetFormatPr defaultColWidth="12.5714285714286" defaultRowHeight="15.75" customHeight="1"/>
  <cols>
    <col min="1" max="1" width="8.14285714285714" customWidth="1"/>
    <col min="2" max="2" width="54.8571428571429" customWidth="1"/>
    <col min="3" max="3" width="78" customWidth="1"/>
    <col min="4" max="4" width="16.5714285714286" customWidth="1"/>
    <col min="5" max="5" width="25" customWidth="1"/>
    <col min="6" max="6" width="94.1428571428571" customWidth="1"/>
  </cols>
  <sheetData>
    <row r="1" customHeight="1" spans="1:26">
      <c r="A1" s="19" t="s">
        <v>19</v>
      </c>
      <c r="B1" s="19" t="s">
        <v>110</v>
      </c>
      <c r="C1" s="19" t="s">
        <v>94</v>
      </c>
      <c r="D1" s="19" t="s">
        <v>111</v>
      </c>
      <c r="E1" s="19" t="s">
        <v>112</v>
      </c>
      <c r="F1" s="3"/>
      <c r="G1" s="3"/>
      <c r="H1" s="3"/>
      <c r="I1" s="3"/>
      <c r="J1" s="3"/>
      <c r="K1" s="3"/>
      <c r="L1" s="3"/>
      <c r="M1" s="3"/>
      <c r="N1" s="3"/>
      <c r="O1" s="3"/>
      <c r="P1" s="3"/>
      <c r="Q1" s="3"/>
      <c r="R1" s="3"/>
      <c r="S1" s="3"/>
      <c r="T1" s="3"/>
      <c r="U1" s="3"/>
      <c r="V1" s="3"/>
      <c r="W1" s="3"/>
      <c r="X1" s="3"/>
      <c r="Y1" s="3"/>
      <c r="Z1" s="3"/>
    </row>
    <row r="2" customHeight="1" spans="1:26">
      <c r="A2" s="47" t="s">
        <v>113</v>
      </c>
      <c r="B2" s="20" t="s">
        <v>114</v>
      </c>
      <c r="C2" s="20">
        <v>3</v>
      </c>
      <c r="D2" s="21">
        <f>(2500000-750000)/1</f>
        <v>1750000</v>
      </c>
      <c r="E2" s="21">
        <f t="shared" ref="E2:E3" si="0">C2*D2</f>
        <v>5250000</v>
      </c>
      <c r="F2" s="3"/>
      <c r="G2" s="3"/>
      <c r="H2" s="3"/>
      <c r="I2" s="3"/>
      <c r="J2" s="3"/>
      <c r="K2" s="3"/>
      <c r="L2" s="3"/>
      <c r="M2" s="3"/>
      <c r="N2" s="3"/>
      <c r="O2" s="3"/>
      <c r="P2" s="3"/>
      <c r="Q2" s="3"/>
      <c r="R2" s="3"/>
      <c r="S2" s="3"/>
      <c r="T2" s="3"/>
      <c r="U2" s="3"/>
      <c r="V2" s="3"/>
      <c r="W2" s="3"/>
      <c r="X2" s="3"/>
      <c r="Y2" s="3"/>
      <c r="Z2" s="3"/>
    </row>
    <row r="3" customHeight="1" spans="1:26">
      <c r="A3" s="20" t="s">
        <v>115</v>
      </c>
      <c r="B3" s="20" t="s">
        <v>116</v>
      </c>
      <c r="C3" s="20">
        <v>3</v>
      </c>
      <c r="D3" s="21">
        <f t="shared" ref="D3" si="1">(2500000-750000)/1</f>
        <v>1750000</v>
      </c>
      <c r="E3" s="21">
        <f t="shared" si="0"/>
        <v>5250000</v>
      </c>
      <c r="F3" s="3"/>
      <c r="G3" s="3"/>
      <c r="H3" s="3"/>
      <c r="I3" s="3"/>
      <c r="J3" s="3"/>
      <c r="K3" s="3"/>
      <c r="L3" s="3"/>
      <c r="M3" s="3"/>
      <c r="N3" s="3"/>
      <c r="O3" s="3"/>
      <c r="P3" s="3"/>
      <c r="Q3" s="3"/>
      <c r="R3" s="3"/>
      <c r="S3" s="3"/>
      <c r="T3" s="3"/>
      <c r="U3" s="3"/>
      <c r="V3" s="3"/>
      <c r="W3" s="3"/>
      <c r="X3" s="3"/>
      <c r="Y3" s="3"/>
      <c r="Z3" s="3"/>
    </row>
    <row r="4" customHeight="1" spans="1:26">
      <c r="A4" s="47" t="s">
        <v>117</v>
      </c>
      <c r="B4" s="20" t="s">
        <v>118</v>
      </c>
      <c r="C4" s="22" t="s">
        <v>119</v>
      </c>
      <c r="D4" s="23">
        <v>367000</v>
      </c>
      <c r="E4" s="23">
        <v>367000</v>
      </c>
      <c r="F4" s="3"/>
      <c r="G4" s="3"/>
      <c r="H4" s="3"/>
      <c r="I4" s="3"/>
      <c r="J4" s="3"/>
      <c r="K4" s="3"/>
      <c r="L4" s="3"/>
      <c r="M4" s="3"/>
      <c r="N4" s="3"/>
      <c r="O4" s="3"/>
      <c r="P4" s="3"/>
      <c r="Q4" s="3"/>
      <c r="R4" s="3"/>
      <c r="S4" s="3"/>
      <c r="T4" s="3"/>
      <c r="U4" s="3"/>
      <c r="V4" s="3"/>
      <c r="W4" s="3"/>
      <c r="X4" s="3"/>
      <c r="Y4" s="3"/>
      <c r="Z4" s="3"/>
    </row>
    <row r="5" customHeight="1" spans="1:26">
      <c r="A5" s="20" t="s">
        <v>120</v>
      </c>
      <c r="B5" s="20" t="s">
        <v>121</v>
      </c>
      <c r="C5" s="22" t="s">
        <v>119</v>
      </c>
      <c r="D5" s="23">
        <v>367000</v>
      </c>
      <c r="E5" s="23">
        <v>367000</v>
      </c>
      <c r="F5" s="3"/>
      <c r="G5" s="3"/>
      <c r="H5" s="3"/>
      <c r="I5" s="3"/>
      <c r="J5" s="3"/>
      <c r="K5" s="3"/>
      <c r="L5" s="3"/>
      <c r="M5" s="3"/>
      <c r="N5" s="3"/>
      <c r="O5" s="3"/>
      <c r="P5" s="3"/>
      <c r="Q5" s="3"/>
      <c r="R5" s="3"/>
      <c r="S5" s="3"/>
      <c r="T5" s="3"/>
      <c r="U5" s="3"/>
      <c r="V5" s="3"/>
      <c r="W5" s="3"/>
      <c r="X5" s="3"/>
      <c r="Y5" s="3"/>
      <c r="Z5" s="3"/>
    </row>
    <row r="6" customHeight="1" spans="1:26">
      <c r="A6" s="47" t="s">
        <v>122</v>
      </c>
      <c r="B6" s="20" t="s">
        <v>123</v>
      </c>
      <c r="C6" s="20">
        <v>1</v>
      </c>
      <c r="D6" s="23">
        <v>0</v>
      </c>
      <c r="E6" s="23">
        <v>0</v>
      </c>
      <c r="F6" s="3"/>
      <c r="G6" s="3"/>
      <c r="H6" s="3"/>
      <c r="I6" s="3"/>
      <c r="J6" s="3"/>
      <c r="K6" s="3"/>
      <c r="L6" s="3"/>
      <c r="M6" s="3"/>
      <c r="N6" s="3"/>
      <c r="O6" s="3"/>
      <c r="P6" s="3"/>
      <c r="Q6" s="3"/>
      <c r="R6" s="3"/>
      <c r="S6" s="3"/>
      <c r="T6" s="3"/>
      <c r="U6" s="3"/>
      <c r="V6" s="3"/>
      <c r="W6" s="3"/>
      <c r="X6" s="3"/>
      <c r="Y6" s="3"/>
      <c r="Z6" s="3"/>
    </row>
    <row r="7" customHeight="1" spans="1:26">
      <c r="A7" s="20" t="s">
        <v>124</v>
      </c>
      <c r="B7" s="20" t="s">
        <v>125</v>
      </c>
      <c r="C7" s="20">
        <v>1</v>
      </c>
      <c r="D7" s="23">
        <v>0</v>
      </c>
      <c r="E7" s="23">
        <v>0</v>
      </c>
      <c r="F7" s="3"/>
      <c r="G7" s="3"/>
      <c r="H7" s="3"/>
      <c r="I7" s="3"/>
      <c r="J7" s="3"/>
      <c r="K7" s="3"/>
      <c r="L7" s="3"/>
      <c r="M7" s="3"/>
      <c r="N7" s="3"/>
      <c r="O7" s="3"/>
      <c r="P7" s="3"/>
      <c r="Q7" s="3"/>
      <c r="R7" s="3"/>
      <c r="S7" s="3"/>
      <c r="T7" s="3"/>
      <c r="U7" s="3"/>
      <c r="V7" s="3"/>
      <c r="W7" s="3"/>
      <c r="X7" s="3"/>
      <c r="Y7" s="3"/>
      <c r="Z7" s="3"/>
    </row>
    <row r="8" customHeight="1" spans="1:26">
      <c r="A8" s="20" t="s">
        <v>103</v>
      </c>
      <c r="B8" s="22" t="s">
        <v>126</v>
      </c>
      <c r="C8" s="3" t="s">
        <v>105</v>
      </c>
      <c r="D8" s="24" t="s">
        <v>105</v>
      </c>
      <c r="E8" s="21">
        <f>E2+E4+E6</f>
        <v>5617000</v>
      </c>
      <c r="F8" s="3"/>
      <c r="G8" s="3"/>
      <c r="H8" s="3"/>
      <c r="I8" s="3"/>
      <c r="J8" s="3"/>
      <c r="K8" s="3"/>
      <c r="L8" s="3"/>
      <c r="M8" s="3"/>
      <c r="N8" s="3"/>
      <c r="O8" s="3"/>
      <c r="P8" s="3"/>
      <c r="Q8" s="3"/>
      <c r="R8" s="3"/>
      <c r="S8" s="3"/>
      <c r="T8" s="3"/>
      <c r="U8" s="3"/>
      <c r="V8" s="3"/>
      <c r="W8" s="3"/>
      <c r="X8" s="3"/>
      <c r="Y8" s="3"/>
      <c r="Z8" s="3"/>
    </row>
    <row r="9" customHeight="1" spans="1:26">
      <c r="A9" s="3"/>
      <c r="B9" s="3"/>
      <c r="C9" s="3"/>
      <c r="D9" s="3"/>
      <c r="E9" s="3"/>
      <c r="F9" s="3"/>
      <c r="G9" s="3"/>
      <c r="H9" s="3"/>
      <c r="I9" s="3"/>
      <c r="J9" s="3"/>
      <c r="K9" s="3"/>
      <c r="L9" s="3"/>
      <c r="M9" s="3"/>
      <c r="N9" s="3"/>
      <c r="O9" s="3"/>
      <c r="P9" s="3"/>
      <c r="Q9" s="3"/>
      <c r="R9" s="3"/>
      <c r="S9" s="3"/>
      <c r="T9" s="3"/>
      <c r="U9" s="3"/>
      <c r="V9" s="3"/>
      <c r="W9" s="3"/>
      <c r="X9" s="3"/>
      <c r="Y9" s="3"/>
      <c r="Z9" s="3"/>
    </row>
    <row r="10" customHeight="1"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customHeight="1" spans="1:26">
      <c r="A11" s="3"/>
      <c r="B11" s="25" t="s">
        <v>127</v>
      </c>
      <c r="C11" s="25"/>
      <c r="D11" s="3"/>
      <c r="E11" s="26" t="s">
        <v>128</v>
      </c>
      <c r="F11" s="27" t="s">
        <v>129</v>
      </c>
      <c r="G11" s="3"/>
      <c r="H11" s="3"/>
      <c r="I11" s="3"/>
      <c r="J11" s="3"/>
      <c r="K11" s="3"/>
      <c r="L11" s="3"/>
      <c r="M11" s="3"/>
      <c r="N11" s="3"/>
      <c r="O11" s="3"/>
      <c r="P11" s="3"/>
      <c r="Q11" s="3"/>
      <c r="R11" s="3"/>
      <c r="S11" s="3"/>
      <c r="T11" s="3"/>
      <c r="U11" s="3"/>
      <c r="V11" s="3"/>
      <c r="W11" s="3"/>
      <c r="X11" s="3"/>
      <c r="Y11" s="3"/>
      <c r="Z11" s="3"/>
    </row>
    <row r="12" customHeight="1" spans="1:26">
      <c r="A12" s="3"/>
      <c r="B12" s="26" t="s">
        <v>130</v>
      </c>
      <c r="C12" s="26" t="s">
        <v>131</v>
      </c>
      <c r="D12" s="3"/>
      <c r="E12" s="26"/>
      <c r="F12" s="27"/>
      <c r="G12" s="3"/>
      <c r="H12" s="3"/>
      <c r="I12" s="3"/>
      <c r="J12" s="3"/>
      <c r="K12" s="3"/>
      <c r="L12" s="3"/>
      <c r="M12" s="3"/>
      <c r="N12" s="3"/>
      <c r="O12" s="3"/>
      <c r="P12" s="3"/>
      <c r="Q12" s="3"/>
      <c r="R12" s="3"/>
      <c r="S12" s="3"/>
      <c r="T12" s="3"/>
      <c r="U12" s="3"/>
      <c r="V12" s="3"/>
      <c r="W12" s="3"/>
      <c r="X12" s="3"/>
      <c r="Y12" s="3"/>
      <c r="Z12" s="3"/>
    </row>
    <row r="13" customHeight="1" spans="1:26">
      <c r="A13" s="3"/>
      <c r="B13" s="28" t="s">
        <v>132</v>
      </c>
      <c r="C13" s="29" t="s">
        <v>133</v>
      </c>
      <c r="D13" s="3"/>
      <c r="E13" s="26"/>
      <c r="F13" s="27"/>
      <c r="G13" s="3"/>
      <c r="H13" s="3"/>
      <c r="I13" s="3"/>
      <c r="J13" s="3"/>
      <c r="K13" s="3"/>
      <c r="L13" s="3"/>
      <c r="M13" s="3"/>
      <c r="N13" s="3"/>
      <c r="O13" s="3"/>
      <c r="P13" s="3"/>
      <c r="Q13" s="3"/>
      <c r="R13" s="3"/>
      <c r="S13" s="3"/>
      <c r="T13" s="3"/>
      <c r="U13" s="3"/>
      <c r="V13" s="3"/>
      <c r="W13" s="3"/>
      <c r="X13" s="3"/>
      <c r="Y13" s="3"/>
      <c r="Z13" s="3"/>
    </row>
    <row r="14" customHeight="1" spans="1:26">
      <c r="A14" s="3"/>
      <c r="B14" s="28"/>
      <c r="C14" s="29"/>
      <c r="D14" s="3"/>
      <c r="E14" s="26" t="s">
        <v>134</v>
      </c>
      <c r="F14" s="27" t="s">
        <v>135</v>
      </c>
      <c r="G14" s="3"/>
      <c r="H14" s="3"/>
      <c r="I14" s="3"/>
      <c r="J14" s="3"/>
      <c r="K14" s="3"/>
      <c r="L14" s="3"/>
      <c r="M14" s="3"/>
      <c r="N14" s="3"/>
      <c r="O14" s="3"/>
      <c r="P14" s="3"/>
      <c r="Q14" s="3"/>
      <c r="R14" s="3"/>
      <c r="S14" s="3"/>
      <c r="T14" s="3"/>
      <c r="U14" s="3"/>
      <c r="V14" s="3"/>
      <c r="W14" s="3"/>
      <c r="X14" s="3"/>
      <c r="Y14" s="3"/>
      <c r="Z14" s="3"/>
    </row>
    <row r="15" customHeight="1" spans="1:26">
      <c r="A15" s="3"/>
      <c r="B15" s="28"/>
      <c r="C15" s="29"/>
      <c r="D15" s="3"/>
      <c r="E15" s="26"/>
      <c r="F15" s="27"/>
      <c r="G15" s="3"/>
      <c r="H15" s="3"/>
      <c r="I15" s="3"/>
      <c r="J15" s="3"/>
      <c r="K15" s="3"/>
      <c r="L15" s="3"/>
      <c r="M15" s="3"/>
      <c r="N15" s="3"/>
      <c r="O15" s="3"/>
      <c r="P15" s="3"/>
      <c r="Q15" s="3"/>
      <c r="R15" s="3"/>
      <c r="S15" s="3"/>
      <c r="T15" s="3"/>
      <c r="U15" s="3"/>
      <c r="V15" s="3"/>
      <c r="W15" s="3"/>
      <c r="X15" s="3"/>
      <c r="Y15" s="3"/>
      <c r="Z15" s="3"/>
    </row>
    <row r="16" customHeight="1" spans="1:26">
      <c r="A16" s="3"/>
      <c r="B16" s="28" t="s">
        <v>136</v>
      </c>
      <c r="C16" s="27" t="s">
        <v>137</v>
      </c>
      <c r="D16" s="3"/>
      <c r="E16" s="26"/>
      <c r="F16" s="27"/>
      <c r="G16" s="3"/>
      <c r="H16" s="3"/>
      <c r="I16" s="3"/>
      <c r="J16" s="3"/>
      <c r="K16" s="3"/>
      <c r="L16" s="3"/>
      <c r="M16" s="3"/>
      <c r="N16" s="3"/>
      <c r="O16" s="3"/>
      <c r="P16" s="3"/>
      <c r="Q16" s="3"/>
      <c r="R16" s="3"/>
      <c r="S16" s="3"/>
      <c r="T16" s="3"/>
      <c r="U16" s="3"/>
      <c r="V16" s="3"/>
      <c r="W16" s="3"/>
      <c r="X16" s="3"/>
      <c r="Y16" s="3"/>
      <c r="Z16" s="3"/>
    </row>
    <row r="17" customHeight="1" spans="1:26">
      <c r="A17" s="3"/>
      <c r="B17" s="28"/>
      <c r="C17" s="27"/>
      <c r="D17" s="3"/>
      <c r="E17" s="26"/>
      <c r="F17" s="27"/>
      <c r="G17" s="3"/>
      <c r="H17" s="3"/>
      <c r="I17" s="3"/>
      <c r="J17" s="3"/>
      <c r="K17" s="3"/>
      <c r="L17" s="3"/>
      <c r="M17" s="3"/>
      <c r="N17" s="3"/>
      <c r="O17" s="3"/>
      <c r="P17" s="3"/>
      <c r="Q17" s="3"/>
      <c r="R17" s="3"/>
      <c r="S17" s="3"/>
      <c r="T17" s="3"/>
      <c r="U17" s="3"/>
      <c r="V17" s="3"/>
      <c r="W17" s="3"/>
      <c r="X17" s="3"/>
      <c r="Y17" s="3"/>
      <c r="Z17" s="3"/>
    </row>
    <row r="18" customHeight="1" spans="1:26">
      <c r="A18" s="3"/>
      <c r="B18" s="28"/>
      <c r="C18" s="27"/>
      <c r="D18" s="3"/>
      <c r="E18" s="26"/>
      <c r="F18" s="27"/>
      <c r="G18" s="3"/>
      <c r="H18" s="3"/>
      <c r="I18" s="3"/>
      <c r="J18" s="3"/>
      <c r="K18" s="3"/>
      <c r="L18" s="3"/>
      <c r="M18" s="3"/>
      <c r="N18" s="3"/>
      <c r="O18" s="3"/>
      <c r="P18" s="3"/>
      <c r="Q18" s="3"/>
      <c r="R18" s="3"/>
      <c r="S18" s="3"/>
      <c r="T18" s="3"/>
      <c r="U18" s="3"/>
      <c r="V18" s="3"/>
      <c r="W18" s="3"/>
      <c r="X18" s="3"/>
      <c r="Y18" s="3"/>
      <c r="Z18" s="3"/>
    </row>
    <row r="19" customHeight="1" spans="1:26">
      <c r="A19" s="3"/>
      <c r="B19" s="28" t="s">
        <v>138</v>
      </c>
      <c r="C19" s="27" t="s">
        <v>139</v>
      </c>
      <c r="D19" s="3"/>
      <c r="E19" s="3"/>
      <c r="F19" s="3"/>
      <c r="G19" s="3"/>
      <c r="H19" s="3"/>
      <c r="I19" s="3"/>
      <c r="J19" s="3"/>
      <c r="K19" s="3"/>
      <c r="L19" s="3"/>
      <c r="M19" s="3"/>
      <c r="N19" s="3"/>
      <c r="O19" s="3"/>
      <c r="P19" s="3"/>
      <c r="Q19" s="3"/>
      <c r="R19" s="3"/>
      <c r="S19" s="3"/>
      <c r="T19" s="3"/>
      <c r="U19" s="3"/>
      <c r="V19" s="3"/>
      <c r="W19" s="3"/>
      <c r="X19" s="3"/>
      <c r="Y19" s="3"/>
      <c r="Z19" s="3"/>
    </row>
    <row r="20" customHeight="1" spans="1:26">
      <c r="A20" s="3"/>
      <c r="B20" s="28"/>
      <c r="C20" s="27"/>
      <c r="D20" s="3"/>
      <c r="E20" s="3"/>
      <c r="F20" s="3"/>
      <c r="G20" s="3"/>
      <c r="H20" s="3"/>
      <c r="I20" s="3"/>
      <c r="J20" s="3"/>
      <c r="K20" s="3"/>
      <c r="L20" s="3"/>
      <c r="M20" s="3"/>
      <c r="N20" s="3"/>
      <c r="O20" s="3"/>
      <c r="P20" s="3"/>
      <c r="Q20" s="3"/>
      <c r="R20" s="3"/>
      <c r="S20" s="3"/>
      <c r="T20" s="3"/>
      <c r="U20" s="3"/>
      <c r="V20" s="3"/>
      <c r="W20" s="3"/>
      <c r="X20" s="3"/>
      <c r="Y20" s="3"/>
      <c r="Z20" s="3"/>
    </row>
    <row r="21" customHeight="1" spans="1:26">
      <c r="A21" s="3"/>
      <c r="B21" s="28"/>
      <c r="C21" s="27"/>
      <c r="D21" s="3"/>
      <c r="E21" s="3"/>
      <c r="F21" s="3"/>
      <c r="G21" s="3"/>
      <c r="H21" s="3"/>
      <c r="I21" s="3"/>
      <c r="J21" s="3"/>
      <c r="K21" s="3"/>
      <c r="L21" s="3"/>
      <c r="M21" s="3"/>
      <c r="N21" s="3"/>
      <c r="O21" s="3"/>
      <c r="P21" s="3"/>
      <c r="Q21" s="3"/>
      <c r="R21" s="3"/>
      <c r="S21" s="3"/>
      <c r="T21" s="3"/>
      <c r="U21" s="3"/>
      <c r="V21" s="3"/>
      <c r="W21" s="3"/>
      <c r="X21" s="3"/>
      <c r="Y21" s="3"/>
      <c r="Z21" s="3"/>
    </row>
    <row r="22" customHeight="1"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customHeight="1"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mergeCells count="11">
    <mergeCell ref="B11:C11"/>
    <mergeCell ref="B13:B15"/>
    <mergeCell ref="B16:B18"/>
    <mergeCell ref="B19:B21"/>
    <mergeCell ref="C13:C15"/>
    <mergeCell ref="C16:C18"/>
    <mergeCell ref="C19:C21"/>
    <mergeCell ref="E11:E13"/>
    <mergeCell ref="E14:E18"/>
    <mergeCell ref="F11:F13"/>
    <mergeCell ref="F14:F18"/>
  </mergeCells>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1"/>
  <sheetViews>
    <sheetView workbookViewId="0">
      <selection activeCell="B16" sqref="B16"/>
    </sheetView>
  </sheetViews>
  <sheetFormatPr defaultColWidth="12.5714285714286" defaultRowHeight="15.75" customHeight="1"/>
  <cols>
    <col min="1" max="1" width="8.14285714285714" customWidth="1"/>
    <col min="2" max="2" width="55.4285714285714" customWidth="1"/>
    <col min="3" max="3" width="15.1428571428571" customWidth="1"/>
    <col min="4" max="4" width="26.8571428571429" customWidth="1"/>
    <col min="5" max="5" width="16.5714285714286" customWidth="1"/>
    <col min="6" max="6" width="24.2857142857143" customWidth="1"/>
  </cols>
  <sheetData>
    <row r="1" customHeight="1" spans="1:26">
      <c r="A1" s="1" t="s">
        <v>19</v>
      </c>
      <c r="B1" s="1" t="s">
        <v>110</v>
      </c>
      <c r="C1" s="1" t="s">
        <v>140</v>
      </c>
      <c r="D1" s="2" t="s">
        <v>141</v>
      </c>
      <c r="E1" s="2" t="s">
        <v>112</v>
      </c>
      <c r="F1" s="3"/>
      <c r="G1" s="3"/>
      <c r="H1" s="3"/>
      <c r="I1" s="3"/>
      <c r="J1" s="3"/>
      <c r="K1" s="3"/>
      <c r="L1" s="3"/>
      <c r="M1" s="3"/>
      <c r="N1" s="3"/>
      <c r="O1" s="3"/>
      <c r="P1" s="3"/>
      <c r="Q1" s="3"/>
      <c r="R1" s="3"/>
      <c r="S1" s="3"/>
      <c r="T1" s="3"/>
      <c r="U1" s="3"/>
      <c r="V1" s="3"/>
      <c r="W1" s="3"/>
      <c r="X1" s="3"/>
      <c r="Y1" s="3"/>
      <c r="Z1" s="3"/>
    </row>
    <row r="2" customHeight="1" spans="1:26">
      <c r="A2" s="4">
        <v>5.1</v>
      </c>
      <c r="B2" s="4" t="s">
        <v>142</v>
      </c>
      <c r="C2" s="4">
        <v>0</v>
      </c>
      <c r="D2" s="5">
        <v>0</v>
      </c>
      <c r="E2" s="5">
        <f t="shared" ref="E2:E5" si="0">C2*D2</f>
        <v>0</v>
      </c>
      <c r="F2" s="3"/>
      <c r="G2" s="3"/>
      <c r="H2" s="3"/>
      <c r="I2" s="3"/>
      <c r="J2" s="3"/>
      <c r="K2" s="3"/>
      <c r="L2" s="3"/>
      <c r="M2" s="3"/>
      <c r="N2" s="3"/>
      <c r="O2" s="3"/>
      <c r="P2" s="3"/>
      <c r="Q2" s="3"/>
      <c r="R2" s="3"/>
      <c r="S2" s="3"/>
      <c r="T2" s="3"/>
      <c r="U2" s="3"/>
      <c r="V2" s="3"/>
      <c r="W2" s="3"/>
      <c r="X2" s="3"/>
      <c r="Y2" s="3"/>
      <c r="Z2" s="3"/>
    </row>
    <row r="3" customHeight="1" spans="1:26">
      <c r="A3" s="4">
        <v>5.2</v>
      </c>
      <c r="B3" s="4" t="s">
        <v>143</v>
      </c>
      <c r="C3" s="4">
        <v>10</v>
      </c>
      <c r="D3" s="5">
        <v>520000</v>
      </c>
      <c r="E3" s="5">
        <f t="shared" si="0"/>
        <v>5200000</v>
      </c>
      <c r="F3" s="3"/>
      <c r="G3" s="3"/>
      <c r="H3" s="3"/>
      <c r="I3" s="3"/>
      <c r="J3" s="3"/>
      <c r="K3" s="3"/>
      <c r="L3" s="3"/>
      <c r="M3" s="3"/>
      <c r="N3" s="3"/>
      <c r="O3" s="3"/>
      <c r="P3" s="3"/>
      <c r="Q3" s="3"/>
      <c r="R3" s="3"/>
      <c r="S3" s="3"/>
      <c r="T3" s="3"/>
      <c r="U3" s="3"/>
      <c r="V3" s="3"/>
      <c r="W3" s="3"/>
      <c r="X3" s="3"/>
      <c r="Y3" s="3"/>
      <c r="Z3" s="3"/>
    </row>
    <row r="4" customHeight="1" spans="1:26">
      <c r="A4" s="4">
        <v>5.3</v>
      </c>
      <c r="B4" s="4" t="s">
        <v>144</v>
      </c>
      <c r="C4" s="4">
        <v>10</v>
      </c>
      <c r="D4" s="5"/>
      <c r="E4" s="5"/>
      <c r="F4" s="3"/>
      <c r="G4" s="3"/>
      <c r="H4" s="3"/>
      <c r="I4" s="3"/>
      <c r="J4" s="3"/>
      <c r="K4" s="3"/>
      <c r="L4" s="3"/>
      <c r="M4" s="3"/>
      <c r="N4" s="3"/>
      <c r="O4" s="3"/>
      <c r="P4" s="3"/>
      <c r="Q4" s="3"/>
      <c r="R4" s="3"/>
      <c r="S4" s="3"/>
      <c r="T4" s="3"/>
      <c r="U4" s="3"/>
      <c r="V4" s="3"/>
      <c r="W4" s="3"/>
      <c r="X4" s="3"/>
      <c r="Y4" s="3"/>
      <c r="Z4" s="3"/>
    </row>
    <row r="5" customHeight="1" spans="1:26">
      <c r="A5" s="4">
        <v>5.4</v>
      </c>
      <c r="B5" s="4" t="s">
        <v>145</v>
      </c>
      <c r="C5" s="4">
        <v>10</v>
      </c>
      <c r="D5" s="6">
        <v>100000</v>
      </c>
      <c r="E5" s="5">
        <f t="shared" si="0"/>
        <v>1000000</v>
      </c>
      <c r="F5" s="3"/>
      <c r="G5" s="3"/>
      <c r="H5" s="3"/>
      <c r="I5" s="3"/>
      <c r="J5" s="3"/>
      <c r="K5" s="3"/>
      <c r="L5" s="3"/>
      <c r="M5" s="3"/>
      <c r="N5" s="3"/>
      <c r="O5" s="3"/>
      <c r="P5" s="3"/>
      <c r="Q5" s="3"/>
      <c r="R5" s="3"/>
      <c r="S5" s="3"/>
      <c r="T5" s="3"/>
      <c r="U5" s="3"/>
      <c r="V5" s="3"/>
      <c r="W5" s="3"/>
      <c r="X5" s="3"/>
      <c r="Y5" s="3"/>
      <c r="Z5" s="3"/>
    </row>
    <row r="6" customHeight="1" spans="1:26">
      <c r="A6" s="4" t="s">
        <v>103</v>
      </c>
      <c r="B6" s="4" t="s">
        <v>146</v>
      </c>
      <c r="C6" s="7" t="s">
        <v>105</v>
      </c>
      <c r="D6" s="8" t="s">
        <v>105</v>
      </c>
      <c r="E6" s="5">
        <f>SUM(E2:E5)</f>
        <v>6200000</v>
      </c>
      <c r="F6" s="3"/>
      <c r="G6" s="3"/>
      <c r="H6" s="3"/>
      <c r="I6" s="3"/>
      <c r="J6" s="3"/>
      <c r="K6" s="3"/>
      <c r="L6" s="3"/>
      <c r="M6" s="3"/>
      <c r="N6" s="3"/>
      <c r="O6" s="3"/>
      <c r="P6" s="3"/>
      <c r="Q6" s="3"/>
      <c r="R6" s="3"/>
      <c r="S6" s="3"/>
      <c r="T6" s="3"/>
      <c r="U6" s="3"/>
      <c r="V6" s="3"/>
      <c r="W6" s="3"/>
      <c r="X6" s="3"/>
      <c r="Y6" s="3"/>
      <c r="Z6" s="3"/>
    </row>
    <row r="7" customHeight="1" spans="1:26">
      <c r="A7" s="3"/>
      <c r="B7" s="3"/>
      <c r="C7" s="3"/>
      <c r="D7" s="3"/>
      <c r="E7" s="3"/>
      <c r="F7" s="3"/>
      <c r="G7" s="3"/>
      <c r="H7" s="3"/>
      <c r="I7" s="3"/>
      <c r="J7" s="3"/>
      <c r="K7" s="3"/>
      <c r="L7" s="3"/>
      <c r="M7" s="3"/>
      <c r="N7" s="3"/>
      <c r="O7" s="3"/>
      <c r="P7" s="3"/>
      <c r="Q7" s="3"/>
      <c r="R7" s="3"/>
      <c r="S7" s="3"/>
      <c r="T7" s="3"/>
      <c r="U7" s="3"/>
      <c r="V7" s="3"/>
      <c r="W7" s="3"/>
      <c r="X7" s="3"/>
      <c r="Y7" s="3"/>
      <c r="Z7" s="3"/>
    </row>
    <row r="8" customHeight="1" spans="1:26">
      <c r="A8" s="3"/>
      <c r="B8" s="3"/>
      <c r="C8" s="3"/>
      <c r="D8" s="3"/>
      <c r="E8" s="3"/>
      <c r="F8" s="3"/>
      <c r="G8" s="3"/>
      <c r="H8" s="3"/>
      <c r="I8" s="3"/>
      <c r="J8" s="3"/>
      <c r="K8" s="3"/>
      <c r="L8" s="3"/>
      <c r="M8" s="3"/>
      <c r="N8" s="3"/>
      <c r="O8" s="3"/>
      <c r="P8" s="3"/>
      <c r="Q8" s="3"/>
      <c r="R8" s="3"/>
      <c r="S8" s="3"/>
      <c r="T8" s="3"/>
      <c r="U8" s="3"/>
      <c r="V8" s="3"/>
      <c r="W8" s="3"/>
      <c r="X8" s="3"/>
      <c r="Y8" s="3"/>
      <c r="Z8" s="3"/>
    </row>
    <row r="9" customHeight="1" spans="1:26">
      <c r="A9" s="3"/>
      <c r="B9" s="3"/>
      <c r="C9" s="3"/>
      <c r="D9" s="9" t="s">
        <v>147</v>
      </c>
      <c r="E9" s="9" t="s">
        <v>148</v>
      </c>
      <c r="F9" s="9" t="s">
        <v>147</v>
      </c>
      <c r="G9" s="9" t="s">
        <v>148</v>
      </c>
      <c r="H9" s="3"/>
      <c r="I9" s="3"/>
      <c r="J9" s="3"/>
      <c r="K9" s="3"/>
      <c r="L9" s="3"/>
      <c r="M9" s="3"/>
      <c r="N9" s="3"/>
      <c r="O9" s="3"/>
      <c r="P9" s="3"/>
      <c r="Q9" s="3"/>
      <c r="R9" s="3"/>
      <c r="S9" s="3"/>
      <c r="T9" s="3"/>
      <c r="U9" s="3"/>
      <c r="V9" s="3"/>
      <c r="W9" s="3"/>
      <c r="X9" s="3"/>
      <c r="Y9" s="3"/>
      <c r="Z9" s="3"/>
    </row>
    <row r="10" customHeight="1" spans="1:26">
      <c r="A10" s="3"/>
      <c r="B10" s="3"/>
      <c r="C10" s="3"/>
      <c r="D10" s="10" t="s">
        <v>149</v>
      </c>
      <c r="E10" s="10">
        <v>150000</v>
      </c>
      <c r="F10" s="10" t="s">
        <v>149</v>
      </c>
      <c r="G10" s="10">
        <v>150000</v>
      </c>
      <c r="H10" s="3"/>
      <c r="I10" s="3"/>
      <c r="J10" s="3"/>
      <c r="K10" s="3"/>
      <c r="L10" s="3"/>
      <c r="M10" s="3"/>
      <c r="N10" s="3"/>
      <c r="O10" s="3"/>
      <c r="P10" s="3"/>
      <c r="Q10" s="3"/>
      <c r="R10" s="3"/>
      <c r="S10" s="3"/>
      <c r="T10" s="3"/>
      <c r="U10" s="3"/>
      <c r="V10" s="3"/>
      <c r="W10" s="3"/>
      <c r="X10" s="3"/>
      <c r="Y10" s="3"/>
      <c r="Z10" s="3"/>
    </row>
    <row r="11" customHeight="1" spans="1:26">
      <c r="A11" s="3"/>
      <c r="B11" s="3"/>
      <c r="C11" s="3"/>
      <c r="D11" s="10" t="s">
        <v>150</v>
      </c>
      <c r="E11" s="10">
        <v>250000</v>
      </c>
      <c r="F11" s="10" t="s">
        <v>150</v>
      </c>
      <c r="G11" s="10">
        <v>250000</v>
      </c>
      <c r="H11" s="3"/>
      <c r="I11" s="3"/>
      <c r="J11" s="3"/>
      <c r="K11" s="3"/>
      <c r="L11" s="3"/>
      <c r="M11" s="3"/>
      <c r="N11" s="3"/>
      <c r="O11" s="3"/>
      <c r="P11" s="3"/>
      <c r="Q11" s="3"/>
      <c r="R11" s="3"/>
      <c r="S11" s="3"/>
      <c r="T11" s="3"/>
      <c r="U11" s="3"/>
      <c r="V11" s="3"/>
      <c r="W11" s="3"/>
      <c r="X11" s="3"/>
      <c r="Y11" s="3"/>
      <c r="Z11" s="3"/>
    </row>
    <row r="12" customHeight="1" spans="1:26">
      <c r="A12" s="3"/>
      <c r="B12" s="3"/>
      <c r="C12" s="3"/>
      <c r="D12" s="10" t="s">
        <v>151</v>
      </c>
      <c r="E12" s="10">
        <v>150000</v>
      </c>
      <c r="F12" s="10" t="s">
        <v>151</v>
      </c>
      <c r="G12" s="10">
        <v>150000</v>
      </c>
      <c r="H12" s="3"/>
      <c r="I12" s="3"/>
      <c r="J12" s="3"/>
      <c r="K12" s="3"/>
      <c r="L12" s="3"/>
      <c r="M12" s="3"/>
      <c r="N12" s="3"/>
      <c r="O12" s="3"/>
      <c r="P12" s="3"/>
      <c r="Q12" s="3"/>
      <c r="R12" s="3"/>
      <c r="S12" s="3"/>
      <c r="T12" s="3"/>
      <c r="U12" s="3"/>
      <c r="V12" s="3"/>
      <c r="W12" s="3"/>
      <c r="X12" s="3"/>
      <c r="Y12" s="3"/>
      <c r="Z12" s="3"/>
    </row>
    <row r="13" customHeight="1"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customHeight="1" spans="1:26">
      <c r="A14" s="3"/>
      <c r="B14" s="11" t="s">
        <v>152</v>
      </c>
      <c r="C14" s="3"/>
      <c r="D14" s="9" t="s">
        <v>153</v>
      </c>
      <c r="E14" s="9" t="s">
        <v>154</v>
      </c>
      <c r="F14" s="9" t="s">
        <v>153</v>
      </c>
      <c r="G14" s="9" t="s">
        <v>154</v>
      </c>
      <c r="H14" s="3"/>
      <c r="I14" s="3"/>
      <c r="J14" s="3"/>
      <c r="K14" s="3"/>
      <c r="L14" s="3"/>
      <c r="M14" s="3"/>
      <c r="N14" s="3"/>
      <c r="O14" s="3"/>
      <c r="P14" s="3"/>
      <c r="Q14" s="3"/>
      <c r="R14" s="3"/>
      <c r="S14" s="3"/>
      <c r="T14" s="3"/>
      <c r="U14" s="3"/>
      <c r="V14" s="3"/>
      <c r="W14" s="3"/>
      <c r="X14" s="3"/>
      <c r="Y14" s="3"/>
      <c r="Z14" s="3"/>
    </row>
    <row r="15" customHeight="1" spans="1:26">
      <c r="A15" s="3"/>
      <c r="B15" s="6">
        <f>44317000-20000000</f>
        <v>24317000</v>
      </c>
      <c r="C15" s="3"/>
      <c r="D15" s="10" t="s">
        <v>155</v>
      </c>
      <c r="E15" s="10">
        <v>5000</v>
      </c>
      <c r="F15" s="10" t="s">
        <v>155</v>
      </c>
      <c r="G15" s="10">
        <v>5000</v>
      </c>
      <c r="H15" s="3"/>
      <c r="I15" s="3"/>
      <c r="J15" s="3"/>
      <c r="K15" s="3"/>
      <c r="L15" s="3"/>
      <c r="M15" s="3"/>
      <c r="N15" s="3"/>
      <c r="O15" s="3"/>
      <c r="P15" s="3"/>
      <c r="Q15" s="3"/>
      <c r="R15" s="3"/>
      <c r="S15" s="3"/>
      <c r="T15" s="3"/>
      <c r="U15" s="3"/>
      <c r="V15" s="3"/>
      <c r="W15" s="3"/>
      <c r="X15" s="3"/>
      <c r="Y15" s="3"/>
      <c r="Z15" s="3"/>
    </row>
    <row r="16" customHeight="1"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customHeight="1" spans="1:26">
      <c r="A17" s="3"/>
      <c r="B17" s="12" t="s">
        <v>156</v>
      </c>
      <c r="C17" s="3"/>
      <c r="D17" s="3"/>
      <c r="E17" s="3"/>
      <c r="F17" s="3"/>
      <c r="G17" s="3"/>
      <c r="H17" s="3"/>
      <c r="I17" s="3"/>
      <c r="J17" s="3"/>
      <c r="K17" s="3"/>
      <c r="L17" s="3"/>
      <c r="M17" s="3"/>
      <c r="N17" s="3"/>
      <c r="O17" s="3"/>
      <c r="P17" s="3"/>
      <c r="Q17" s="3"/>
      <c r="R17" s="3"/>
      <c r="S17" s="3"/>
      <c r="T17" s="3"/>
      <c r="U17" s="3"/>
      <c r="V17" s="3"/>
      <c r="W17" s="3"/>
      <c r="X17" s="3"/>
      <c r="Y17" s="3"/>
      <c r="Z17" s="3"/>
    </row>
    <row r="18" customHeight="1" spans="1:26">
      <c r="A18" s="3"/>
      <c r="B18" s="5">
        <f>B15/20000000</f>
        <v>1.21585</v>
      </c>
      <c r="C18" s="3"/>
      <c r="D18" s="13" t="s">
        <v>157</v>
      </c>
      <c r="E18" s="14"/>
      <c r="F18" s="14"/>
      <c r="G18" s="3"/>
      <c r="H18" s="3"/>
      <c r="I18" s="3"/>
      <c r="J18" s="3"/>
      <c r="K18" s="3"/>
      <c r="L18" s="3"/>
      <c r="M18" s="3"/>
      <c r="N18" s="3"/>
      <c r="O18" s="3"/>
      <c r="P18" s="3"/>
      <c r="Q18" s="3"/>
      <c r="R18" s="3"/>
      <c r="S18" s="3"/>
      <c r="T18" s="3"/>
      <c r="U18" s="3"/>
      <c r="V18" s="3"/>
      <c r="W18" s="3"/>
      <c r="X18" s="3"/>
      <c r="Y18" s="3"/>
      <c r="Z18" s="3"/>
    </row>
    <row r="19" customHeight="1" spans="1:26">
      <c r="A19" s="3"/>
      <c r="B19" s="3"/>
      <c r="C19" s="3"/>
      <c r="D19" s="15">
        <f>E6</f>
        <v>6200000</v>
      </c>
      <c r="E19" s="16"/>
      <c r="F19" s="16"/>
      <c r="G19" s="3"/>
      <c r="H19" s="3"/>
      <c r="I19" s="3"/>
      <c r="J19" s="3"/>
      <c r="K19" s="3"/>
      <c r="L19" s="3"/>
      <c r="M19" s="3"/>
      <c r="N19" s="3"/>
      <c r="O19" s="3"/>
      <c r="P19" s="3"/>
      <c r="Q19" s="3"/>
      <c r="R19" s="3"/>
      <c r="S19" s="3"/>
      <c r="T19" s="3"/>
      <c r="U19" s="3"/>
      <c r="V19" s="3"/>
      <c r="W19" s="3"/>
      <c r="X19" s="3"/>
      <c r="Y19" s="3"/>
      <c r="Z19" s="3"/>
    </row>
    <row r="20" customHeight="1"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customHeight="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customHeight="1" spans="1:26">
      <c r="A22" s="3"/>
      <c r="B22" s="17" t="s">
        <v>158</v>
      </c>
      <c r="C22" s="3"/>
      <c r="D22" s="3"/>
      <c r="E22" s="3"/>
      <c r="F22" s="3"/>
      <c r="G22" s="3"/>
      <c r="H22" s="3"/>
      <c r="I22" s="3"/>
      <c r="J22" s="3"/>
      <c r="K22" s="3"/>
      <c r="L22" s="3"/>
      <c r="M22" s="3"/>
      <c r="N22" s="3"/>
      <c r="O22" s="3"/>
      <c r="P22" s="3"/>
      <c r="Q22" s="3"/>
      <c r="R22" s="3"/>
      <c r="S22" s="3"/>
      <c r="T22" s="3"/>
      <c r="U22" s="3"/>
      <c r="V22" s="3"/>
      <c r="W22" s="3"/>
      <c r="X22" s="3"/>
      <c r="Y22" s="3"/>
      <c r="Z22" s="3"/>
    </row>
    <row r="23" customHeight="1" spans="1:26">
      <c r="A23" s="3"/>
      <c r="B23" s="18">
        <f>(B15*1.22)</f>
        <v>29666740</v>
      </c>
      <c r="C23" s="3"/>
      <c r="D23" s="3"/>
      <c r="E23" s="3"/>
      <c r="F23" s="3"/>
      <c r="G23" s="3"/>
      <c r="H23" s="3"/>
      <c r="I23" s="3"/>
      <c r="J23" s="3"/>
      <c r="K23" s="3"/>
      <c r="L23" s="3"/>
      <c r="M23" s="3"/>
      <c r="N23" s="3"/>
      <c r="O23" s="3"/>
      <c r="P23" s="3"/>
      <c r="Q23" s="3"/>
      <c r="R23" s="3"/>
      <c r="S23" s="3"/>
      <c r="T23" s="3"/>
      <c r="U23" s="3"/>
      <c r="V23" s="3"/>
      <c r="W23" s="3"/>
      <c r="X23" s="3"/>
      <c r="Y23" s="3"/>
      <c r="Z23" s="3"/>
    </row>
    <row r="24" customHeight="1"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Proyecto.</vt:lpstr>
      <vt:lpstr>Costo Total del Proyecto.</vt:lpstr>
      <vt:lpstr>Planeación_1.</vt:lpstr>
      <vt:lpstr>Planeación_2</vt:lpstr>
      <vt:lpstr>Pagos Profesionales.</vt:lpstr>
      <vt:lpstr>Hadware y Software.</vt:lpstr>
      <vt:lpstr>Gastos Administrativos.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Aprendiz</cp:lastModifiedBy>
  <dcterms:created xsi:type="dcterms:W3CDTF">2026-06-26T19:09:00Z</dcterms:created>
  <dcterms:modified xsi:type="dcterms:W3CDTF">2026-08-24T23:34:42Z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A4EF57938EB642F8BF004C2F6E717356_12</vt:lpwstr>
  </property>
  <property fmtid="{D5CDD505-2E9C-101B-9397-08002B2CF9AE}" pid="3" name="KSOProductBuildVer">
    <vt:lpwstr>2058-12.1.0.28032</vt:lpwstr>
  </property>
  <property fmtid="{D5CDD505-2E9C-101B-9397-08002B2CF9AE}" pid="4" name="CalculationRule">
    <vt:i4>0</vt:i4>
  </property>
</Properties>
</file>
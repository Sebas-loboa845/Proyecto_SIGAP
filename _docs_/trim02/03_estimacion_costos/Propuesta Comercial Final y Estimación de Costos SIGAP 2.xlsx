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hp\Documents\"/>
    </mc:Choice>
  </mc:AlternateContent>
  <bookViews>
    <workbookView xWindow="0" yWindow="0" windowWidth="20490" windowHeight="7650" firstSheet="3" activeTab="6"/>
  </bookViews>
  <sheets>
    <sheet name="Proyecto." sheetId="1" r:id="rId1"/>
    <sheet name="Costo Total del Proyecto." sheetId="2" r:id="rId2"/>
    <sheet name="Planeación_1." sheetId="3" r:id="rId3"/>
    <sheet name="Planeación_2" sheetId="7" r:id="rId4"/>
    <sheet name="Pagos Profesionales." sheetId="4" r:id="rId5"/>
    <sheet name="Hadware y Software." sheetId="5" r:id="rId6"/>
    <sheet name="Gastos Administrativos." sheetId="6" r:id="rId7"/>
  </sheets>
  <calcPr calcId="162913"/>
</workbook>
</file>

<file path=xl/calcChain.xml><?xml version="1.0" encoding="utf-8"?>
<calcChain xmlns="http://schemas.openxmlformats.org/spreadsheetml/2006/main">
  <c r="B15" i="6" l="1"/>
  <c r="D19" i="6"/>
  <c r="H2" i="4" l="1"/>
  <c r="H3" i="4"/>
  <c r="H4" i="4"/>
  <c r="H5" i="4"/>
  <c r="H6" i="4"/>
  <c r="F3" i="4"/>
  <c r="F4" i="4"/>
  <c r="F5" i="4"/>
  <c r="F6" i="4"/>
  <c r="F2" i="4"/>
  <c r="F18" i="4"/>
  <c r="F17" i="4"/>
  <c r="F16" i="4"/>
  <c r="F15" i="4"/>
  <c r="F14" i="4"/>
  <c r="E2" i="4"/>
  <c r="D2" i="5"/>
  <c r="E8" i="5"/>
  <c r="E5" i="6"/>
  <c r="E3" i="6"/>
  <c r="E2" i="6"/>
  <c r="D3" i="5"/>
  <c r="E3" i="5" s="1"/>
  <c r="E2" i="5"/>
  <c r="B3" i="2" s="1"/>
  <c r="E6" i="4"/>
  <c r="E5" i="4"/>
  <c r="E4" i="4"/>
  <c r="E3" i="4"/>
  <c r="H7" i="4" l="1"/>
  <c r="B2" i="2" s="1"/>
  <c r="E6" i="6"/>
  <c r="B4" i="2" s="1"/>
  <c r="B6" i="2" l="1"/>
  <c r="B23" i="6" s="1"/>
  <c r="B18" i="6"/>
</calcChain>
</file>

<file path=xl/sharedStrings.xml><?xml version="1.0" encoding="utf-8"?>
<sst xmlns="http://schemas.openxmlformats.org/spreadsheetml/2006/main" count="230" uniqueCount="159">
  <si>
    <t>Dato General</t>
  </si>
  <si>
    <t>Detalle</t>
  </si>
  <si>
    <t>Nombre del Proyecto</t>
  </si>
  <si>
    <t>Sistema de Información de Gestión Administrativa y Procesos (SIGAP)</t>
  </si>
  <si>
    <t>Duración</t>
  </si>
  <si>
    <t>10 meses</t>
  </si>
  <si>
    <t>Fecha de Inicio</t>
  </si>
  <si>
    <t>06 de febrero de 2026</t>
  </si>
  <si>
    <t>Fecha de Fin</t>
  </si>
  <si>
    <t>12 de diciembre de 2026</t>
  </si>
  <si>
    <t>Metodología</t>
  </si>
  <si>
    <t>Híbrida: Cascada para requisitos/modelado y Scrum para construcción de módulos</t>
  </si>
  <si>
    <t>Concepto</t>
  </si>
  <si>
    <t>Valor (COP)</t>
  </si>
  <si>
    <t>Total Pagos Profesionales</t>
  </si>
  <si>
    <t>Total Recursos Tecnológicos</t>
  </si>
  <si>
    <t>Total Gastos Administrativos</t>
  </si>
  <si>
    <t xml:space="preserve">Margen de Utilidad Proyectado </t>
  </si>
  <si>
    <t>VALOR TOTAL DEL PROYECTO</t>
  </si>
  <si>
    <t>Ítem</t>
  </si>
  <si>
    <t>Actividad Principal</t>
  </si>
  <si>
    <t>Responsable</t>
  </si>
  <si>
    <t>Fecha Inicio</t>
  </si>
  <si>
    <t>Fecha Fin</t>
  </si>
  <si>
    <t>Analizar necesidades del cliente y recolección de datos</t>
  </si>
  <si>
    <t>Analista</t>
  </si>
  <si>
    <t>06/02/2026</t>
  </si>
  <si>
    <t>06/03/2026</t>
  </si>
  <si>
    <t>Elaborar el Diagrama de Procesos de Negocio</t>
  </si>
  <si>
    <t>07/03/2026</t>
  </si>
  <si>
    <t>16/03/2026</t>
  </si>
  <si>
    <t>Elaborar el Informe de Requisitos (IEEE-830)</t>
  </si>
  <si>
    <t>17/03/2026</t>
  </si>
  <si>
    <t>27/03/2026</t>
  </si>
  <si>
    <t>Diagramación de Casos de Uso del Sistema</t>
  </si>
  <si>
    <t>28/03/2026</t>
  </si>
  <si>
    <t>05/04/2026</t>
  </si>
  <si>
    <t>Generación de Plantillas de Casos de Uso Extendido</t>
  </si>
  <si>
    <t>06/04/2026</t>
  </si>
  <si>
    <t>16/04/2026</t>
  </si>
  <si>
    <t>Consolidación del Informe Técnico de Análisis</t>
  </si>
  <si>
    <t>17/04/2026</t>
  </si>
  <si>
    <t>18/04/2026</t>
  </si>
  <si>
    <t>Elaboración del Modelo Entidad Relación (MER)</t>
  </si>
  <si>
    <t>Arquitecto</t>
  </si>
  <si>
    <t>19/04/2026</t>
  </si>
  <si>
    <t>30/04/2026</t>
  </si>
  <si>
    <t>Diseño de Arquitectura en Capas y Escalabilidad</t>
  </si>
  <si>
    <t>01/05/2026</t>
  </si>
  <si>
    <t>31/05/2026</t>
  </si>
  <si>
    <t>4.1</t>
  </si>
  <si>
    <t>Desarrollo de Sprints (Módulos Usuarios, Suministros, Ventas)</t>
  </si>
  <si>
    <t>Desarrollador Senior</t>
  </si>
  <si>
    <t>01/06/2026</t>
  </si>
  <si>
    <t>15/10/2026</t>
  </si>
  <si>
    <t>Ciclo de Pruebas Unitarias e Integración</t>
  </si>
  <si>
    <t>QA / Tester</t>
  </si>
  <si>
    <t>16/10/2026</t>
  </si>
  <si>
    <t>15/11/2026</t>
  </si>
  <si>
    <t>Despliegue en Producción y Capacitación Final</t>
  </si>
  <si>
    <t>Gerente Proyecto</t>
  </si>
  <si>
    <t>16/11/2026</t>
  </si>
  <si>
    <t>12/12/2026</t>
  </si>
  <si>
    <t>Profesional</t>
  </si>
  <si>
    <t>Cantidad</t>
  </si>
  <si>
    <t>Salario Mensual</t>
  </si>
  <si>
    <t>V/DIA</t>
  </si>
  <si>
    <t>V/HORA</t>
  </si>
  <si>
    <t>Días</t>
  </si>
  <si>
    <t>Salario Real (Parcial)</t>
  </si>
  <si>
    <t>Gerente de Proyecto</t>
  </si>
  <si>
    <t>Arquitecto de Software</t>
  </si>
  <si>
    <t>Analista de Requisitos</t>
  </si>
  <si>
    <t>TOTAL</t>
  </si>
  <si>
    <t>Pagos Profesionales.</t>
  </si>
  <si>
    <t/>
  </si>
  <si>
    <t>Descripción</t>
  </si>
  <si>
    <t>Valor Unitario</t>
  </si>
  <si>
    <t>Valor Total</t>
  </si>
  <si>
    <t>Depreciación Hardware</t>
  </si>
  <si>
    <t>4.1.1</t>
  </si>
  <si>
    <t>PCs Gama Alta (Depreciación 10 meses / 24 meses vida útil)</t>
  </si>
  <si>
    <t>4.2</t>
  </si>
  <si>
    <t>Cloud Hosting</t>
  </si>
  <si>
    <t>4.2.1</t>
  </si>
  <si>
    <t>Instancias AWS/Azure (Capacidad Transaccional 24/7)</t>
  </si>
  <si>
    <t>4.3</t>
  </si>
  <si>
    <t>Software y Seguridad</t>
  </si>
  <si>
    <t>4.3.1</t>
  </si>
  <si>
    <t>Certificados Digitales SSL (Protocolo HTTPS)</t>
  </si>
  <si>
    <t>Hadware y Software.</t>
  </si>
  <si>
    <t>Cantidad (Meses)</t>
  </si>
  <si>
    <t>Valor Mensual</t>
  </si>
  <si>
    <t>Servicios Públicos (Conectividad Fibra Óptica, Luz, Agua)</t>
  </si>
  <si>
    <t>Papelería, Suministros e Insumos Administrativos</t>
  </si>
  <si>
    <t>Gastos Administrativos</t>
  </si>
  <si>
    <t>Margen Bruto.</t>
  </si>
  <si>
    <t>Margen Neto.</t>
  </si>
  <si>
    <t>2CPU, 10GB RAM, 50GB</t>
  </si>
  <si>
    <t xml:space="preserve">Horas de trabajo por día </t>
  </si>
  <si>
    <t>Soporte de Reuniones Presenciales(Springs)</t>
  </si>
  <si>
    <t>Soporte de Reuniones Remotas(Dailys)/ Microsoft Teams</t>
  </si>
  <si>
    <t xml:space="preserve">Para eso se se toma las horas trabajas por día y se multiplica por los días de trabajo. </t>
  </si>
  <si>
    <t>Se calcula el precio de los salarios por las horas y días trabajados.</t>
  </si>
  <si>
    <t>En base a ello se calcula el salario real y se hace la sumatoria de los pagos profesionales.</t>
  </si>
  <si>
    <t>Sprint</t>
  </si>
  <si>
    <t>Semana</t>
  </si>
  <si>
    <t>Requisito(s) por Responsable</t>
  </si>
  <si>
    <t>Responsables</t>
  </si>
  <si>
    <t>S1</t>
  </si>
  <si>
    <t>Bryan: RF01 Iniciar Sesión - Daniel: RF14 Reemplazar producto - Sebastian: RF34 Editar compra.</t>
  </si>
  <si>
    <t>B, D, S</t>
  </si>
  <si>
    <t>2 Dailys Remotas (15 min)</t>
  </si>
  <si>
    <t>Bryan: RF02 Cerrar Sesión - Daniel: RF15 Agrupar productos - Sebastian: RF35 Ver estado de la compra.</t>
  </si>
  <si>
    <t>2 Dailys + Sprint Review &amp; Planning Presencial (30 min)</t>
  </si>
  <si>
    <t>S2</t>
  </si>
  <si>
    <t>Bryan: RF03 Recuperar Contraseña - Daniel: RF16 Eliminar Producto - Sebastian: RF36 Registrar Producto Rechazado</t>
  </si>
  <si>
    <t>Bryan: RF04 Registrar Usuario - Daniel: RF17 Registrar compra. - Sebastian: RF37 Editar Producto Rechazado</t>
  </si>
  <si>
    <t>S3</t>
  </si>
  <si>
    <t>Bryan: RF05 Listar Usuarios - Daniel: RF18 Hacer Pago de la compra. - Sebastian: RF38 Eliminar Producto Rechazado</t>
  </si>
  <si>
    <t>Bryan: RF06 Editar Usuario - Daniel: RF19 Listar venta - Sebastian: RF39 Consultar Historial de Compras.</t>
  </si>
  <si>
    <t>S4</t>
  </si>
  <si>
    <t>Bryan: RF07 Editar Perfil - Daniel: RF20 Consultar ventas - Sebasrtian: RF40 Consultar Historial de Ventas.</t>
  </si>
  <si>
    <t>Bryan: RF08 Cambiar de Usuario. - Daniel: RF21 Editar Venta - Sebastian: RF41 Borrar historial Ventas</t>
  </si>
  <si>
    <t>S5</t>
  </si>
  <si>
    <t>Bryan: RF09 Eliminar Usuario - Daniel: RF22 Ver estado de la venta. - Sebastian: RF42 Consultar producto en stock</t>
  </si>
  <si>
    <t>Bryan: RF10 Registrar Producto - Daniel: RF23 Agrupar Ventas - Sebastian: RF43 Informar al Proveedor sobre la falta de Producto.</t>
  </si>
  <si>
    <t>S6</t>
  </si>
  <si>
    <t>Bryan: RF11 Listar Productos - Daniel: RF24 Eliminar Venta. - Sebastian: RF44 Hacer pedido del producto.</t>
  </si>
  <si>
    <t>Bryan: RF12 Consultar Producto - Daniel: RF25 Cancelación de la compra - Sebastian: RF45 Registrar fase del pedido.</t>
  </si>
  <si>
    <t>S7</t>
  </si>
  <si>
    <t>Bryan: RF13 Editar Estado de Producto o de los productos. - Daniel: RF26 Editar pedidos de ventas pendientes - Sebastian: RF46 Consultar productos en fase de pedido</t>
  </si>
  <si>
    <t>Bryan: Soporte a Pruebas y Deuda Técnica - Daniel: RF27 Consultar estado de pago de la venta. - Sebastian: RF47 Edición de fase del pedido.</t>
  </si>
  <si>
    <t>S8</t>
  </si>
  <si>
    <t>Bryan: Estabilización de Módulo Usuarios - Daniel: RF28 Registrar puntuación del servicio - Sebastian: RF48 Informar al empleado(outsoucer) de la llegada del producto</t>
  </si>
  <si>
    <t>Bryan: Cierre Técnico y Documentación - Daniel: RF29 Editar puntuación del servicio - Sebastian: RF49 Informe del avance del Producto.</t>
  </si>
  <si>
    <t>Servicios y Conectividad.</t>
  </si>
  <si>
    <t>Precios</t>
  </si>
  <si>
    <t>Internet Fibra óptica</t>
  </si>
  <si>
    <t xml:space="preserve">Servicio Agua </t>
  </si>
  <si>
    <t>Servicio Luz</t>
  </si>
  <si>
    <t xml:space="preserve">Documentación </t>
  </si>
  <si>
    <t>Precios.</t>
  </si>
  <si>
    <t>Por documento imprimido.</t>
  </si>
  <si>
    <t>Total Gastos Administrativos.</t>
  </si>
  <si>
    <t>Margen de Utilidad.</t>
  </si>
  <si>
    <t>Elementos de un servidor.</t>
  </si>
  <si>
    <t>Elemento</t>
  </si>
  <si>
    <t>¿Qué es?</t>
  </si>
  <si>
    <t>CPU</t>
  </si>
  <si>
    <t>Es el "cerebro". Procesa las instrucciones y ejecuta el código de las aplicaciones o sitios web. Los servidores requieren procesadores con muchos núcleos para manejar múltiples tareas a la vez.</t>
  </si>
  <si>
    <t xml:space="preserve">Memoria </t>
  </si>
  <si>
    <t xml:space="preserve"> Es el área de trabajo temporal. Almacena los datos que la CPU necesita acceder de inmediato (como bases de datos en ejecución o sesiones de usuarios). Tener mucha RAM evita que el servidor tenga que leer el disco duro constantemente.</t>
  </si>
  <si>
    <t>Almacenamiento</t>
  </si>
  <si>
    <t xml:space="preserve"> Es donde se guardan los archivos, el sistema operativo, los programas y las bases de datos de forma permanente. Se mide en Gigabytes o Terabytes</t>
  </si>
  <si>
    <t>Información de Software</t>
  </si>
  <si>
    <t xml:space="preserve">El precio total de un servidor, varia dependiendo del almacenamiento que se necesite por consumo(ya sea de manera mensual o anual), basandose en tres elementos.   </t>
  </si>
  <si>
    <t>¿Cómo se calculo?</t>
  </si>
  <si>
    <t xml:space="preserve">Las empresas dueñas de los servidores, por lo general traen, un precio determinado, en base a la necesidad del cliente, es decir, cuento almacenamiento requiere. Esto se hace mediante Calculadoras virtuales, donde dependiendo del almacenamiento requirido por cada elemento, se tiene un precio estimado en dolares. Para el caso de SIGAP, se hace la conversión, teniendo en cuenta que se necesita dos servidores: Azure(Base de datos, Backend), google cloud(Frontend)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</si>
</sst>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44" formatCode="_-&quot;XDR&quot;* #,##0.00_-;\-&quot;XDR&quot;* #,##0.00_-;_-&quot;XDR&quot;* &quot;-&quot;??_-;_-@_-"/>
    <numFmt numFmtId="164" formatCode="_-[$$-240A]\ * #,##0.00_-;\-[$$-240A]\ * #,##0.00_-;_-[$$-240A]\ * &quot;-&quot;??_-;_-@_-"/>
  </numFmts>
  <fonts count="6" x14ac:knownFonts="1">
    <font>
      <sz val="10"/>
      <color rgb="FF000000"/>
      <name val="Arial"/>
      <scheme val="minor"/>
    </font>
    <font>
      <sz val="12"/>
      <color theme="1"/>
      <name val="Times New Roman"/>
      <family val="1"/>
    </font>
    <font>
      <sz val="10"/>
      <color rgb="FF000000"/>
      <name val="Arial"/>
      <family val="2"/>
      <scheme val="minor"/>
    </font>
    <font>
      <sz val="12"/>
      <color theme="1"/>
      <name val="Times New Roman"/>
      <family val="1"/>
    </font>
    <font>
      <sz val="12"/>
      <color rgb="FF000000"/>
      <name val="Times New Roman"/>
      <family val="1"/>
    </font>
    <font>
      <sz val="12"/>
      <name val="Times New Roman"/>
      <family val="1"/>
    </font>
  </fonts>
  <fills count="20">
    <fill>
      <patternFill patternType="none"/>
    </fill>
    <fill>
      <patternFill patternType="gray125"/>
    </fill>
    <fill>
      <patternFill patternType="solid">
        <fgColor rgb="FF6D9EEB"/>
        <bgColor rgb="FF6D9EEB"/>
      </patternFill>
    </fill>
    <fill>
      <patternFill patternType="solid">
        <fgColor rgb="FFE06666"/>
        <bgColor rgb="FFE06666"/>
      </patternFill>
    </fill>
    <fill>
      <patternFill patternType="solid">
        <fgColor rgb="FF93C47D"/>
        <bgColor rgb="FF93C47D"/>
      </patternFill>
    </fill>
    <fill>
      <patternFill patternType="solid">
        <fgColor rgb="FFFFE599"/>
        <bgColor rgb="FFFFE599"/>
      </patternFill>
    </fill>
    <fill>
      <patternFill patternType="solid">
        <fgColor rgb="FFB6D7A8"/>
        <bgColor rgb="FFB6D7A8"/>
      </patternFill>
    </fill>
    <fill>
      <patternFill patternType="solid">
        <fgColor rgb="FFA4C2F4"/>
        <bgColor rgb="FFA4C2F4"/>
      </patternFill>
    </fill>
    <fill>
      <patternFill patternType="solid">
        <fgColor rgb="FFB4A7D6"/>
        <bgColor rgb="FFB4A7D6"/>
      </patternFill>
    </fill>
    <fill>
      <patternFill patternType="solid">
        <fgColor rgb="FF9FC5E8"/>
        <bgColor rgb="FF9FC5E8"/>
      </patternFill>
    </fill>
    <fill>
      <patternFill patternType="solid">
        <fgColor rgb="FF00FFFF"/>
        <bgColor rgb="FF00FFFF"/>
      </patternFill>
    </fill>
    <fill>
      <patternFill patternType="solid">
        <fgColor rgb="FFEA9999"/>
        <bgColor rgb="FFEA9999"/>
      </patternFill>
    </fill>
    <fill>
      <patternFill patternType="solid">
        <fgColor rgb="FFD0E0E3"/>
        <bgColor rgb="FFD0E0E3"/>
      </patternFill>
    </fill>
    <fill>
      <patternFill patternType="solid">
        <fgColor theme="6" tint="0.39997558519241921"/>
        <bgColor indexed="64"/>
      </patternFill>
    </fill>
    <fill>
      <patternFill patternType="solid">
        <fgColor rgb="FFFFC000"/>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rgb="FFFFFF00"/>
        <bgColor indexed="64"/>
      </patternFill>
    </fill>
    <fill>
      <patternFill patternType="solid">
        <fgColor theme="4" tint="0.59999389629810485"/>
        <bgColor indexed="64"/>
      </patternFill>
    </fill>
    <fill>
      <patternFill patternType="solid">
        <fgColor rgb="FF00B0F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medium">
        <color rgb="FFCCCCCC"/>
      </right>
      <top style="medium">
        <color rgb="FFCCCCCC"/>
      </top>
      <bottom style="medium">
        <color rgb="FFCCCCCC"/>
      </bottom>
      <diagonal/>
    </border>
    <border>
      <left style="thin">
        <color indexed="64"/>
      </left>
      <right/>
      <top style="thin">
        <color indexed="64"/>
      </top>
      <bottom style="thin">
        <color indexed="64"/>
      </bottom>
      <diagonal/>
    </border>
  </borders>
  <cellStyleXfs count="2">
    <xf numFmtId="0" fontId="0" fillId="0" borderId="0"/>
    <xf numFmtId="44" fontId="2" fillId="0" borderId="0" applyFont="0" applyFill="0" applyBorder="0" applyAlignment="0" applyProtection="0"/>
  </cellStyleXfs>
  <cellXfs count="54">
    <xf numFmtId="0" fontId="0" fillId="0" borderId="0" xfId="0" applyFont="1" applyAlignment="1"/>
    <xf numFmtId="0" fontId="1" fillId="2" borderId="1" xfId="0" applyFont="1" applyFill="1" applyBorder="1" applyAlignment="1">
      <alignment horizontal="center"/>
    </xf>
    <xf numFmtId="0" fontId="1" fillId="3" borderId="1" xfId="0" applyFont="1" applyFill="1" applyBorder="1" applyAlignment="1">
      <alignment horizontal="center"/>
    </xf>
    <xf numFmtId="0" fontId="1" fillId="0" borderId="0" xfId="0" applyFont="1" applyAlignment="1">
      <alignment horizontal="center"/>
    </xf>
    <xf numFmtId="0" fontId="1" fillId="0" borderId="1" xfId="0" applyFont="1" applyBorder="1" applyAlignment="1">
      <alignment horizontal="center"/>
    </xf>
    <xf numFmtId="0" fontId="1" fillId="4" borderId="1" xfId="0" applyFont="1" applyFill="1" applyBorder="1" applyAlignment="1">
      <alignment horizontal="center"/>
    </xf>
    <xf numFmtId="0" fontId="1" fillId="0" borderId="1" xfId="0" applyFont="1" applyBorder="1" applyAlignment="1">
      <alignment horizontal="center"/>
    </xf>
    <xf numFmtId="0" fontId="1" fillId="0" borderId="1" xfId="0" applyFont="1" applyBorder="1" applyAlignment="1"/>
    <xf numFmtId="0" fontId="1" fillId="5" borderId="1" xfId="0" applyFont="1" applyFill="1" applyBorder="1" applyAlignment="1">
      <alignment horizontal="center"/>
    </xf>
    <xf numFmtId="0" fontId="1" fillId="6" borderId="1" xfId="0" applyFont="1" applyFill="1" applyBorder="1" applyAlignment="1">
      <alignment horizontal="center"/>
    </xf>
    <xf numFmtId="0" fontId="1" fillId="7" borderId="1" xfId="0" applyFont="1" applyFill="1" applyBorder="1" applyAlignment="1">
      <alignment horizontal="center"/>
    </xf>
    <xf numFmtId="0" fontId="1" fillId="8" borderId="1" xfId="0" applyFont="1" applyFill="1" applyBorder="1" applyAlignment="1">
      <alignment horizontal="center"/>
    </xf>
    <xf numFmtId="0" fontId="1" fillId="0" borderId="1" xfId="0" quotePrefix="1" applyFont="1" applyBorder="1" applyAlignment="1">
      <alignment horizontal="center"/>
    </xf>
    <xf numFmtId="0" fontId="1" fillId="9" borderId="1" xfId="0" applyFont="1" applyFill="1" applyBorder="1"/>
    <xf numFmtId="0" fontId="1" fillId="0" borderId="0" xfId="0" applyFont="1"/>
    <xf numFmtId="0" fontId="1" fillId="0" borderId="1" xfId="0" quotePrefix="1" applyFont="1" applyBorder="1"/>
    <xf numFmtId="0" fontId="1" fillId="0" borderId="1" xfId="0" applyFont="1" applyBorder="1"/>
    <xf numFmtId="0" fontId="1" fillId="10" borderId="1" xfId="0" applyFont="1" applyFill="1" applyBorder="1"/>
    <xf numFmtId="0" fontId="1" fillId="12" borderId="1" xfId="0" applyFont="1" applyFill="1" applyBorder="1" applyAlignment="1">
      <alignment horizontal="center"/>
    </xf>
    <xf numFmtId="0" fontId="1" fillId="6" borderId="1" xfId="0" applyFont="1" applyFill="1" applyBorder="1" applyAlignment="1">
      <alignment horizontal="center"/>
    </xf>
    <xf numFmtId="164" fontId="1" fillId="0" borderId="1" xfId="0" applyNumberFormat="1" applyFont="1" applyBorder="1"/>
    <xf numFmtId="164" fontId="1" fillId="0" borderId="1" xfId="0" applyNumberFormat="1" applyFont="1" applyBorder="1" applyAlignment="1"/>
    <xf numFmtId="164" fontId="1" fillId="0" borderId="0" xfId="0" applyNumberFormat="1" applyFont="1"/>
    <xf numFmtId="164" fontId="1" fillId="0" borderId="1" xfId="1" applyNumberFormat="1" applyFont="1" applyBorder="1"/>
    <xf numFmtId="164" fontId="1" fillId="9" borderId="1" xfId="1" applyNumberFormat="1" applyFont="1" applyFill="1" applyBorder="1"/>
    <xf numFmtId="164" fontId="1" fillId="0" borderId="1" xfId="1" applyNumberFormat="1" applyFont="1" applyBorder="1" applyAlignment="1"/>
    <xf numFmtId="0" fontId="3" fillId="0" borderId="0" xfId="0" applyFont="1"/>
    <xf numFmtId="0" fontId="1" fillId="0" borderId="2" xfId="0" applyFont="1" applyBorder="1" applyAlignment="1">
      <alignment horizontal="center"/>
    </xf>
    <xf numFmtId="0" fontId="3" fillId="13" borderId="2" xfId="0" applyFont="1" applyFill="1" applyBorder="1" applyAlignment="1">
      <alignment horizontal="center"/>
    </xf>
    <xf numFmtId="164" fontId="1" fillId="0" borderId="1" xfId="1" applyNumberFormat="1" applyFont="1" applyBorder="1" applyAlignment="1">
      <alignment horizontal="center"/>
    </xf>
    <xf numFmtId="0" fontId="1" fillId="11" borderId="1" xfId="0" applyFont="1" applyFill="1" applyBorder="1" applyAlignment="1">
      <alignment horizontal="center"/>
    </xf>
    <xf numFmtId="164" fontId="1" fillId="11" borderId="1" xfId="0" applyNumberFormat="1" applyFont="1" applyFill="1" applyBorder="1" applyAlignment="1">
      <alignment horizontal="center"/>
    </xf>
    <xf numFmtId="164" fontId="1" fillId="0" borderId="1" xfId="0" applyNumberFormat="1" applyFont="1" applyBorder="1" applyAlignment="1">
      <alignment horizontal="center"/>
    </xf>
    <xf numFmtId="164" fontId="1" fillId="0" borderId="0" xfId="0" applyNumberFormat="1" applyFont="1" applyAlignment="1">
      <alignment horizontal="center"/>
    </xf>
    <xf numFmtId="0" fontId="3" fillId="0" borderId="1" xfId="0" applyFont="1" applyBorder="1" applyAlignment="1">
      <alignment horizontal="center"/>
    </xf>
    <xf numFmtId="0" fontId="3" fillId="0" borderId="1" xfId="0" quotePrefix="1" applyFont="1" applyBorder="1" applyAlignment="1">
      <alignment horizontal="center"/>
    </xf>
    <xf numFmtId="0" fontId="4" fillId="0" borderId="3" xfId="0" applyFont="1" applyBorder="1" applyAlignment="1"/>
    <xf numFmtId="0" fontId="4" fillId="0" borderId="2" xfId="0" applyFont="1" applyBorder="1" applyAlignment="1"/>
    <xf numFmtId="14" fontId="4" fillId="0" borderId="2" xfId="0" applyNumberFormat="1" applyFont="1" applyBorder="1" applyAlignment="1"/>
    <xf numFmtId="0" fontId="4" fillId="14" borderId="2" xfId="0" applyFont="1" applyFill="1" applyBorder="1" applyAlignment="1"/>
    <xf numFmtId="0" fontId="4" fillId="15" borderId="2" xfId="0" applyFont="1" applyFill="1" applyBorder="1" applyAlignment="1">
      <alignment horizontal="center"/>
    </xf>
    <xf numFmtId="0" fontId="4" fillId="0" borderId="2" xfId="0" applyFont="1" applyBorder="1" applyAlignment="1">
      <alignment horizontal="center"/>
    </xf>
    <xf numFmtId="0" fontId="4" fillId="16" borderId="4" xfId="0" applyFont="1" applyFill="1" applyBorder="1" applyAlignment="1">
      <alignment horizontal="center"/>
    </xf>
    <xf numFmtId="164" fontId="4" fillId="0" borderId="4" xfId="0" applyNumberFormat="1" applyFont="1" applyBorder="1" applyAlignment="1">
      <alignment horizontal="center"/>
    </xf>
    <xf numFmtId="0" fontId="4" fillId="0" borderId="0" xfId="0" applyFont="1" applyFill="1" applyBorder="1" applyAlignment="1">
      <alignment horizontal="center"/>
    </xf>
    <xf numFmtId="164" fontId="4" fillId="0" borderId="0" xfId="0" applyNumberFormat="1" applyFont="1" applyFill="1" applyBorder="1" applyAlignment="1">
      <alignment horizontal="center"/>
    </xf>
    <xf numFmtId="164" fontId="1" fillId="0" borderId="2" xfId="0" applyNumberFormat="1" applyFont="1" applyBorder="1"/>
    <xf numFmtId="0" fontId="1" fillId="15" borderId="2" xfId="0" applyFont="1" applyFill="1" applyBorder="1" applyAlignment="1">
      <alignment horizontal="center" vertical="center"/>
    </xf>
    <xf numFmtId="0" fontId="1" fillId="18" borderId="2" xfId="0" applyFont="1" applyFill="1" applyBorder="1" applyAlignment="1">
      <alignment horizontal="center" vertical="center"/>
    </xf>
    <xf numFmtId="0" fontId="1" fillId="17" borderId="2" xfId="0" applyFont="1" applyFill="1" applyBorder="1" applyAlignment="1">
      <alignment horizontal="center" vertical="center"/>
    </xf>
    <xf numFmtId="0" fontId="4" fillId="0" borderId="2" xfId="0" applyFont="1" applyBorder="1" applyAlignment="1">
      <alignment horizontal="center" vertical="center" wrapText="1"/>
    </xf>
    <xf numFmtId="0" fontId="1" fillId="0" borderId="2" xfId="0" applyFont="1" applyBorder="1" applyAlignment="1">
      <alignment horizontal="center" vertical="center" wrapText="1"/>
    </xf>
    <xf numFmtId="0" fontId="1" fillId="18" borderId="2" xfId="0" applyFont="1" applyFill="1" applyBorder="1" applyAlignment="1">
      <alignment horizontal="center" vertical="center"/>
    </xf>
    <xf numFmtId="0" fontId="5" fillId="19" borderId="2" xfId="0" applyFont="1" applyFill="1" applyBorder="1"/>
  </cellXfs>
  <cellStyles count="2">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workbookViewId="0"/>
  </sheetViews>
  <sheetFormatPr baseColWidth="10" defaultColWidth="12.5703125" defaultRowHeight="15.75" customHeight="1" x14ac:dyDescent="0.2"/>
  <cols>
    <col min="1" max="1" width="20" bestFit="1" customWidth="1"/>
    <col min="2" max="2" width="67.140625" customWidth="1"/>
  </cols>
  <sheetData>
    <row r="1" spans="1:26" ht="15.75" customHeight="1" x14ac:dyDescent="0.25">
      <c r="A1" s="1" t="s">
        <v>0</v>
      </c>
      <c r="B1" s="2" t="s">
        <v>1</v>
      </c>
      <c r="C1" s="3"/>
      <c r="D1" s="3"/>
      <c r="E1" s="3"/>
      <c r="F1" s="3"/>
      <c r="G1" s="3"/>
      <c r="H1" s="3"/>
      <c r="I1" s="3"/>
      <c r="J1" s="3"/>
      <c r="K1" s="3"/>
      <c r="L1" s="3"/>
      <c r="M1" s="3"/>
      <c r="N1" s="3"/>
      <c r="O1" s="3"/>
      <c r="P1" s="3"/>
      <c r="Q1" s="3"/>
      <c r="R1" s="3"/>
      <c r="S1" s="3"/>
      <c r="T1" s="3"/>
      <c r="U1" s="3"/>
      <c r="V1" s="3"/>
      <c r="W1" s="3"/>
      <c r="X1" s="3"/>
      <c r="Y1" s="3"/>
      <c r="Z1" s="3"/>
    </row>
    <row r="2" spans="1:26" ht="15.75" customHeight="1" x14ac:dyDescent="0.25">
      <c r="A2" s="4" t="s">
        <v>2</v>
      </c>
      <c r="B2" s="4" t="s">
        <v>3</v>
      </c>
      <c r="C2" s="3"/>
      <c r="D2" s="3"/>
      <c r="E2" s="3"/>
      <c r="F2" s="3"/>
      <c r="G2" s="3"/>
      <c r="H2" s="3"/>
      <c r="I2" s="3"/>
      <c r="J2" s="3"/>
      <c r="K2" s="3"/>
      <c r="L2" s="3"/>
      <c r="M2" s="3"/>
      <c r="N2" s="3"/>
      <c r="O2" s="3"/>
      <c r="P2" s="3"/>
      <c r="Q2" s="3"/>
      <c r="R2" s="3"/>
      <c r="S2" s="3"/>
      <c r="T2" s="3"/>
      <c r="U2" s="3"/>
      <c r="V2" s="3"/>
      <c r="W2" s="3"/>
      <c r="X2" s="3"/>
      <c r="Y2" s="3"/>
      <c r="Z2" s="3"/>
    </row>
    <row r="3" spans="1:26" ht="15.75" customHeight="1" x14ac:dyDescent="0.25">
      <c r="A3" s="4" t="s">
        <v>4</v>
      </c>
      <c r="B3" s="4" t="s">
        <v>5</v>
      </c>
      <c r="C3" s="3"/>
      <c r="D3" s="3"/>
      <c r="E3" s="3"/>
      <c r="F3" s="3"/>
      <c r="G3" s="3"/>
      <c r="H3" s="3"/>
      <c r="I3" s="3"/>
      <c r="J3" s="3"/>
      <c r="K3" s="3"/>
      <c r="L3" s="3"/>
      <c r="M3" s="3"/>
      <c r="N3" s="3"/>
      <c r="O3" s="3"/>
      <c r="P3" s="3"/>
      <c r="Q3" s="3"/>
      <c r="R3" s="3"/>
      <c r="S3" s="3"/>
      <c r="T3" s="3"/>
      <c r="U3" s="3"/>
      <c r="V3" s="3"/>
      <c r="W3" s="3"/>
      <c r="X3" s="3"/>
      <c r="Y3" s="3"/>
      <c r="Z3" s="3"/>
    </row>
    <row r="4" spans="1:26" ht="15.75" customHeight="1" x14ac:dyDescent="0.25">
      <c r="A4" s="4" t="s">
        <v>6</v>
      </c>
      <c r="B4" s="4" t="s">
        <v>7</v>
      </c>
      <c r="C4" s="3"/>
      <c r="D4" s="3"/>
      <c r="E4" s="3"/>
      <c r="F4" s="3"/>
      <c r="G4" s="3"/>
      <c r="H4" s="3"/>
      <c r="I4" s="3"/>
      <c r="J4" s="3"/>
      <c r="K4" s="3"/>
      <c r="L4" s="3"/>
      <c r="M4" s="3"/>
      <c r="N4" s="3"/>
      <c r="O4" s="3"/>
      <c r="P4" s="3"/>
      <c r="Q4" s="3"/>
      <c r="R4" s="3"/>
      <c r="S4" s="3"/>
      <c r="T4" s="3"/>
      <c r="U4" s="3"/>
      <c r="V4" s="3"/>
      <c r="W4" s="3"/>
      <c r="X4" s="3"/>
      <c r="Y4" s="3"/>
      <c r="Z4" s="3"/>
    </row>
    <row r="5" spans="1:26" ht="15.75" customHeight="1" x14ac:dyDescent="0.25">
      <c r="A5" s="4" t="s">
        <v>8</v>
      </c>
      <c r="B5" s="4" t="s">
        <v>9</v>
      </c>
      <c r="C5" s="3"/>
      <c r="D5" s="3"/>
      <c r="E5" s="3"/>
      <c r="F5" s="3"/>
      <c r="G5" s="3"/>
      <c r="H5" s="3"/>
      <c r="I5" s="3"/>
      <c r="J5" s="3"/>
      <c r="K5" s="3"/>
      <c r="L5" s="3"/>
      <c r="M5" s="3"/>
      <c r="N5" s="3"/>
      <c r="O5" s="3"/>
      <c r="P5" s="3"/>
      <c r="Q5" s="3"/>
      <c r="R5" s="3"/>
      <c r="S5" s="3"/>
      <c r="T5" s="3"/>
      <c r="U5" s="3"/>
      <c r="V5" s="3"/>
      <c r="W5" s="3"/>
      <c r="X5" s="3"/>
      <c r="Y5" s="3"/>
      <c r="Z5" s="3"/>
    </row>
    <row r="6" spans="1:26" ht="15.75" customHeight="1" x14ac:dyDescent="0.25">
      <c r="A6" s="4" t="s">
        <v>10</v>
      </c>
      <c r="B6" s="4" t="s">
        <v>11</v>
      </c>
      <c r="C6" s="3"/>
      <c r="D6" s="3"/>
      <c r="E6" s="3"/>
      <c r="F6" s="3"/>
      <c r="G6" s="3"/>
      <c r="H6" s="3"/>
      <c r="I6" s="3"/>
      <c r="J6" s="3"/>
      <c r="K6" s="3"/>
      <c r="L6" s="3"/>
      <c r="M6" s="3"/>
      <c r="N6" s="3"/>
      <c r="O6" s="3"/>
      <c r="P6" s="3"/>
      <c r="Q6" s="3"/>
      <c r="R6" s="3"/>
      <c r="S6" s="3"/>
      <c r="T6" s="3"/>
      <c r="U6" s="3"/>
      <c r="V6" s="3"/>
      <c r="W6" s="3"/>
      <c r="X6" s="3"/>
      <c r="Y6" s="3"/>
      <c r="Z6" s="3"/>
    </row>
    <row r="7" spans="1:26" ht="15.75" customHeight="1" x14ac:dyDescent="0.25">
      <c r="A7" s="3"/>
      <c r="B7" s="3"/>
      <c r="C7" s="3"/>
      <c r="D7" s="3"/>
      <c r="E7" s="3"/>
      <c r="F7" s="3"/>
      <c r="G7" s="3"/>
      <c r="H7" s="3"/>
      <c r="I7" s="3"/>
      <c r="J7" s="3"/>
      <c r="K7" s="3"/>
      <c r="L7" s="3"/>
      <c r="M7" s="3"/>
      <c r="N7" s="3"/>
      <c r="O7" s="3"/>
      <c r="P7" s="3"/>
      <c r="Q7" s="3"/>
      <c r="R7" s="3"/>
      <c r="S7" s="3"/>
      <c r="T7" s="3"/>
      <c r="U7" s="3"/>
      <c r="V7" s="3"/>
      <c r="W7" s="3"/>
      <c r="X7" s="3"/>
      <c r="Y7" s="3"/>
      <c r="Z7" s="3"/>
    </row>
    <row r="8" spans="1:26" ht="15.75" customHeight="1" x14ac:dyDescent="0.25">
      <c r="A8" s="3"/>
      <c r="B8" s="3"/>
      <c r="C8" s="3"/>
      <c r="D8" s="3"/>
      <c r="E8" s="3"/>
      <c r="F8" s="3"/>
      <c r="G8" s="3"/>
      <c r="H8" s="3"/>
      <c r="I8" s="3"/>
      <c r="J8" s="3"/>
      <c r="K8" s="3"/>
      <c r="L8" s="3"/>
      <c r="M8" s="3"/>
      <c r="N8" s="3"/>
      <c r="O8" s="3"/>
      <c r="P8" s="3"/>
      <c r="Q8" s="3"/>
      <c r="R8" s="3"/>
      <c r="S8" s="3"/>
      <c r="T8" s="3"/>
      <c r="U8" s="3"/>
      <c r="V8" s="3"/>
      <c r="W8" s="3"/>
      <c r="X8" s="3"/>
      <c r="Y8" s="3"/>
      <c r="Z8" s="3"/>
    </row>
    <row r="9" spans="1:26" ht="15.75" customHeight="1" x14ac:dyDescent="0.25">
      <c r="A9" s="3"/>
      <c r="B9" s="3"/>
      <c r="C9" s="3"/>
      <c r="D9" s="3"/>
      <c r="E9" s="3"/>
      <c r="F9" s="3"/>
      <c r="G9" s="3"/>
      <c r="H9" s="3"/>
      <c r="I9" s="3"/>
      <c r="J9" s="3"/>
      <c r="K9" s="3"/>
      <c r="L9" s="3"/>
      <c r="M9" s="3"/>
      <c r="N9" s="3"/>
      <c r="O9" s="3"/>
      <c r="P9" s="3"/>
      <c r="Q9" s="3"/>
      <c r="R9" s="3"/>
      <c r="S9" s="3"/>
      <c r="T9" s="3"/>
      <c r="U9" s="3"/>
      <c r="V9" s="3"/>
      <c r="W9" s="3"/>
      <c r="X9" s="3"/>
      <c r="Y9" s="3"/>
      <c r="Z9" s="3"/>
    </row>
    <row r="10" spans="1:26" ht="15.75" customHeight="1" x14ac:dyDescent="0.25">
      <c r="A10" s="3"/>
      <c r="B10" s="3"/>
      <c r="C10" s="3"/>
      <c r="D10" s="3"/>
      <c r="E10" s="3"/>
      <c r="F10" s="3"/>
      <c r="G10" s="3"/>
      <c r="H10" s="3"/>
      <c r="I10" s="3"/>
      <c r="J10" s="3"/>
      <c r="K10" s="3"/>
      <c r="L10" s="3"/>
      <c r="M10" s="3"/>
      <c r="N10" s="3"/>
      <c r="O10" s="3"/>
      <c r="P10" s="3"/>
      <c r="Q10" s="3"/>
      <c r="R10" s="3"/>
      <c r="S10" s="3"/>
      <c r="T10" s="3"/>
      <c r="U10" s="3"/>
      <c r="V10" s="3"/>
      <c r="W10" s="3"/>
      <c r="X10" s="3"/>
      <c r="Y10" s="3"/>
      <c r="Z10" s="3"/>
    </row>
    <row r="11" spans="1:26" ht="15.75" customHeight="1" x14ac:dyDescent="0.25">
      <c r="A11" s="3"/>
      <c r="B11" s="3"/>
      <c r="C11" s="3"/>
      <c r="D11" s="3"/>
      <c r="E11" s="3"/>
      <c r="F11" s="3"/>
      <c r="G11" s="3"/>
      <c r="H11" s="3"/>
      <c r="I11" s="3"/>
      <c r="J11" s="3"/>
      <c r="K11" s="3"/>
      <c r="L11" s="3"/>
      <c r="M11" s="3"/>
      <c r="N11" s="3"/>
      <c r="O11" s="3"/>
      <c r="P11" s="3"/>
      <c r="Q11" s="3"/>
      <c r="R11" s="3"/>
      <c r="S11" s="3"/>
      <c r="T11" s="3"/>
      <c r="U11" s="3"/>
      <c r="V11" s="3"/>
      <c r="W11" s="3"/>
      <c r="X11" s="3"/>
      <c r="Y11" s="3"/>
      <c r="Z11" s="3"/>
    </row>
    <row r="12" spans="1:26" ht="15.75" customHeight="1" x14ac:dyDescent="0.25">
      <c r="A12" s="3"/>
      <c r="B12" s="3"/>
      <c r="C12" s="3"/>
      <c r="D12" s="3"/>
      <c r="E12" s="3"/>
      <c r="F12" s="3"/>
      <c r="G12" s="3"/>
      <c r="H12" s="3"/>
      <c r="I12" s="3"/>
      <c r="J12" s="3"/>
      <c r="K12" s="3"/>
      <c r="L12" s="3"/>
      <c r="M12" s="3"/>
      <c r="N12" s="3"/>
      <c r="O12" s="3"/>
      <c r="P12" s="3"/>
      <c r="Q12" s="3"/>
      <c r="R12" s="3"/>
      <c r="S12" s="3"/>
      <c r="T12" s="3"/>
      <c r="U12" s="3"/>
      <c r="V12" s="3"/>
      <c r="W12" s="3"/>
      <c r="X12" s="3"/>
      <c r="Y12" s="3"/>
      <c r="Z12" s="3"/>
    </row>
    <row r="13" spans="1:26" ht="15.75" customHeight="1" x14ac:dyDescent="0.25">
      <c r="A13" s="3"/>
      <c r="B13" s="3"/>
      <c r="C13" s="3"/>
      <c r="D13" s="3"/>
      <c r="E13" s="3"/>
      <c r="F13" s="3"/>
      <c r="G13" s="3"/>
      <c r="H13" s="3"/>
      <c r="I13" s="3"/>
      <c r="J13" s="3"/>
      <c r="K13" s="3"/>
      <c r="L13" s="3"/>
      <c r="M13" s="3"/>
      <c r="N13" s="3"/>
      <c r="O13" s="3"/>
      <c r="P13" s="3"/>
      <c r="Q13" s="3"/>
      <c r="R13" s="3"/>
      <c r="S13" s="3"/>
      <c r="T13" s="3"/>
      <c r="U13" s="3"/>
      <c r="V13" s="3"/>
      <c r="W13" s="3"/>
      <c r="X13" s="3"/>
      <c r="Y13" s="3"/>
      <c r="Z13" s="3"/>
    </row>
    <row r="14" spans="1:26" ht="15.75" customHeight="1" x14ac:dyDescent="0.25">
      <c r="A14" s="3"/>
      <c r="B14" s="3"/>
      <c r="C14" s="3"/>
      <c r="D14" s="3"/>
      <c r="E14" s="3"/>
      <c r="F14" s="3"/>
      <c r="G14" s="3"/>
      <c r="H14" s="3"/>
      <c r="I14" s="3"/>
      <c r="J14" s="3"/>
      <c r="K14" s="3"/>
      <c r="L14" s="3"/>
      <c r="M14" s="3"/>
      <c r="N14" s="3"/>
      <c r="O14" s="3"/>
      <c r="P14" s="3"/>
      <c r="Q14" s="3"/>
      <c r="R14" s="3"/>
      <c r="S14" s="3"/>
      <c r="T14" s="3"/>
      <c r="U14" s="3"/>
      <c r="V14" s="3"/>
      <c r="W14" s="3"/>
      <c r="X14" s="3"/>
      <c r="Y14" s="3"/>
      <c r="Z14" s="3"/>
    </row>
    <row r="15" spans="1:26" ht="15.75" customHeight="1" x14ac:dyDescent="0.25">
      <c r="A15" s="3"/>
      <c r="B15" s="3"/>
      <c r="C15" s="3"/>
      <c r="D15" s="3"/>
      <c r="E15" s="3"/>
      <c r="F15" s="3"/>
      <c r="G15" s="3"/>
      <c r="H15" s="3"/>
      <c r="I15" s="3"/>
      <c r="J15" s="3"/>
      <c r="K15" s="3"/>
      <c r="L15" s="3"/>
      <c r="M15" s="3"/>
      <c r="N15" s="3"/>
      <c r="O15" s="3"/>
      <c r="P15" s="3"/>
      <c r="Q15" s="3"/>
      <c r="R15" s="3"/>
      <c r="S15" s="3"/>
      <c r="T15" s="3"/>
      <c r="U15" s="3"/>
      <c r="V15" s="3"/>
      <c r="W15" s="3"/>
      <c r="X15" s="3"/>
      <c r="Y15" s="3"/>
      <c r="Z15" s="3"/>
    </row>
    <row r="16" spans="1:26" ht="15.75" customHeight="1" x14ac:dyDescent="0.25">
      <c r="A16" s="3"/>
      <c r="B16" s="3"/>
      <c r="C16" s="3"/>
      <c r="D16" s="3"/>
      <c r="E16" s="3"/>
      <c r="F16" s="3"/>
      <c r="G16" s="3"/>
      <c r="H16" s="3"/>
      <c r="I16" s="3"/>
      <c r="J16" s="3"/>
      <c r="K16" s="3"/>
      <c r="L16" s="3"/>
      <c r="M16" s="3"/>
      <c r="N16" s="3"/>
      <c r="O16" s="3"/>
      <c r="P16" s="3"/>
      <c r="Q16" s="3"/>
      <c r="R16" s="3"/>
      <c r="S16" s="3"/>
      <c r="T16" s="3"/>
      <c r="U16" s="3"/>
      <c r="V16" s="3"/>
      <c r="W16" s="3"/>
      <c r="X16" s="3"/>
      <c r="Y16" s="3"/>
      <c r="Z16" s="3"/>
    </row>
    <row r="17" spans="1:26" ht="15.75" customHeight="1" x14ac:dyDescent="0.25">
      <c r="A17" s="3"/>
      <c r="B17" s="3"/>
      <c r="C17" s="3"/>
      <c r="D17" s="3"/>
      <c r="E17" s="3"/>
      <c r="F17" s="3"/>
      <c r="G17" s="3"/>
      <c r="H17" s="3"/>
      <c r="I17" s="3"/>
      <c r="J17" s="3"/>
      <c r="K17" s="3"/>
      <c r="L17" s="3"/>
      <c r="M17" s="3"/>
      <c r="N17" s="3"/>
      <c r="O17" s="3"/>
      <c r="P17" s="3"/>
      <c r="Q17" s="3"/>
      <c r="R17" s="3"/>
      <c r="S17" s="3"/>
      <c r="T17" s="3"/>
      <c r="U17" s="3"/>
      <c r="V17" s="3"/>
      <c r="W17" s="3"/>
      <c r="X17" s="3"/>
      <c r="Y17" s="3"/>
      <c r="Z17" s="3"/>
    </row>
    <row r="18" spans="1:26" ht="15.75" customHeight="1" x14ac:dyDescent="0.25">
      <c r="A18" s="3"/>
      <c r="B18" s="3"/>
      <c r="C18" s="3"/>
      <c r="D18" s="3"/>
      <c r="E18" s="3"/>
      <c r="F18" s="3"/>
      <c r="G18" s="3"/>
      <c r="H18" s="3"/>
      <c r="I18" s="3"/>
      <c r="J18" s="3"/>
      <c r="K18" s="3"/>
      <c r="L18" s="3"/>
      <c r="M18" s="3"/>
      <c r="N18" s="3"/>
      <c r="O18" s="3"/>
      <c r="P18" s="3"/>
      <c r="Q18" s="3"/>
      <c r="R18" s="3"/>
      <c r="S18" s="3"/>
      <c r="T18" s="3"/>
      <c r="U18" s="3"/>
      <c r="V18" s="3"/>
      <c r="W18" s="3"/>
      <c r="X18" s="3"/>
      <c r="Y18" s="3"/>
      <c r="Z18" s="3"/>
    </row>
    <row r="19" spans="1:26" ht="15.75" customHeight="1" x14ac:dyDescent="0.25">
      <c r="A19" s="3"/>
      <c r="B19" s="3"/>
      <c r="C19" s="3"/>
      <c r="D19" s="3"/>
      <c r="E19" s="3"/>
      <c r="F19" s="3"/>
      <c r="G19" s="3"/>
      <c r="H19" s="3"/>
      <c r="I19" s="3"/>
      <c r="J19" s="3"/>
      <c r="K19" s="3"/>
      <c r="L19" s="3"/>
      <c r="M19" s="3"/>
      <c r="N19" s="3"/>
      <c r="O19" s="3"/>
      <c r="P19" s="3"/>
      <c r="Q19" s="3"/>
      <c r="R19" s="3"/>
      <c r="S19" s="3"/>
      <c r="T19" s="3"/>
      <c r="U19" s="3"/>
      <c r="V19" s="3"/>
      <c r="W19" s="3"/>
      <c r="X19" s="3"/>
      <c r="Y19" s="3"/>
      <c r="Z19" s="3"/>
    </row>
    <row r="20" spans="1:26" ht="15.75" customHeight="1" x14ac:dyDescent="0.25">
      <c r="A20" s="3"/>
      <c r="B20" s="3"/>
      <c r="C20" s="3"/>
      <c r="D20" s="3"/>
      <c r="E20" s="3"/>
      <c r="F20" s="3"/>
      <c r="G20" s="3"/>
      <c r="H20" s="3"/>
      <c r="I20" s="3"/>
      <c r="J20" s="3"/>
      <c r="K20" s="3"/>
      <c r="L20" s="3"/>
      <c r="M20" s="3"/>
      <c r="N20" s="3"/>
      <c r="O20" s="3"/>
      <c r="P20" s="3"/>
      <c r="Q20" s="3"/>
      <c r="R20" s="3"/>
      <c r="S20" s="3"/>
      <c r="T20" s="3"/>
      <c r="U20" s="3"/>
      <c r="V20" s="3"/>
      <c r="W20" s="3"/>
      <c r="X20" s="3"/>
      <c r="Y20" s="3"/>
      <c r="Z20" s="3"/>
    </row>
    <row r="21" spans="1:26" ht="15.75" customHeight="1" x14ac:dyDescent="0.25">
      <c r="A21" s="3"/>
      <c r="B21" s="3"/>
      <c r="C21" s="3"/>
      <c r="D21" s="3"/>
      <c r="E21" s="3"/>
      <c r="F21" s="3"/>
      <c r="G21" s="3"/>
      <c r="H21" s="3"/>
      <c r="I21" s="3"/>
      <c r="J21" s="3"/>
      <c r="K21" s="3"/>
      <c r="L21" s="3"/>
      <c r="M21" s="3"/>
      <c r="N21" s="3"/>
      <c r="O21" s="3"/>
      <c r="P21" s="3"/>
      <c r="Q21" s="3"/>
      <c r="R21" s="3"/>
      <c r="S21" s="3"/>
      <c r="T21" s="3"/>
      <c r="U21" s="3"/>
      <c r="V21" s="3"/>
      <c r="W21" s="3"/>
      <c r="X21" s="3"/>
      <c r="Y21" s="3"/>
      <c r="Z21" s="3"/>
    </row>
    <row r="22" spans="1:26" ht="15.75" customHeight="1" x14ac:dyDescent="0.25">
      <c r="A22" s="3"/>
      <c r="B22" s="3"/>
      <c r="C22" s="3"/>
      <c r="D22" s="3"/>
      <c r="E22" s="3"/>
      <c r="F22" s="3"/>
      <c r="G22" s="3"/>
      <c r="H22" s="3"/>
      <c r="I22" s="3"/>
      <c r="J22" s="3"/>
      <c r="K22" s="3"/>
      <c r="L22" s="3"/>
      <c r="M22" s="3"/>
      <c r="N22" s="3"/>
      <c r="O22" s="3"/>
      <c r="P22" s="3"/>
      <c r="Q22" s="3"/>
      <c r="R22" s="3"/>
      <c r="S22" s="3"/>
      <c r="T22" s="3"/>
      <c r="U22" s="3"/>
      <c r="V22" s="3"/>
      <c r="W22" s="3"/>
      <c r="X22" s="3"/>
      <c r="Y22" s="3"/>
      <c r="Z22" s="3"/>
    </row>
    <row r="23" spans="1:26" ht="15.75" customHeight="1" x14ac:dyDescent="0.25">
      <c r="A23" s="3"/>
      <c r="B23" s="3"/>
      <c r="C23" s="3"/>
      <c r="D23" s="3"/>
      <c r="E23" s="3"/>
      <c r="F23" s="3"/>
      <c r="G23" s="3"/>
      <c r="H23" s="3"/>
      <c r="I23" s="3"/>
      <c r="J23" s="3"/>
      <c r="K23" s="3"/>
      <c r="L23" s="3"/>
      <c r="M23" s="3"/>
      <c r="N23" s="3"/>
      <c r="O23" s="3"/>
      <c r="P23" s="3"/>
      <c r="Q23" s="3"/>
      <c r="R23" s="3"/>
      <c r="S23" s="3"/>
      <c r="T23" s="3"/>
      <c r="U23" s="3"/>
      <c r="V23" s="3"/>
      <c r="W23" s="3"/>
      <c r="X23" s="3"/>
      <c r="Y23" s="3"/>
      <c r="Z23" s="3"/>
    </row>
    <row r="24" spans="1:26" x14ac:dyDescent="0.25">
      <c r="A24" s="3"/>
      <c r="B24" s="3"/>
      <c r="C24" s="3"/>
      <c r="D24" s="3"/>
      <c r="E24" s="3"/>
      <c r="F24" s="3"/>
      <c r="G24" s="3"/>
      <c r="H24" s="3"/>
      <c r="I24" s="3"/>
      <c r="J24" s="3"/>
      <c r="K24" s="3"/>
      <c r="L24" s="3"/>
      <c r="M24" s="3"/>
      <c r="N24" s="3"/>
      <c r="O24" s="3"/>
      <c r="P24" s="3"/>
      <c r="Q24" s="3"/>
      <c r="R24" s="3"/>
      <c r="S24" s="3"/>
      <c r="T24" s="3"/>
      <c r="U24" s="3"/>
      <c r="V24" s="3"/>
      <c r="W24" s="3"/>
      <c r="X24" s="3"/>
      <c r="Y24" s="3"/>
      <c r="Z24" s="3"/>
    </row>
    <row r="25" spans="1:26" x14ac:dyDescent="0.25">
      <c r="A25" s="3"/>
      <c r="B25" s="3"/>
      <c r="C25" s="3"/>
      <c r="D25" s="3"/>
      <c r="E25" s="3"/>
      <c r="F25" s="3"/>
      <c r="G25" s="3"/>
      <c r="H25" s="3"/>
      <c r="I25" s="3"/>
      <c r="J25" s="3"/>
      <c r="K25" s="3"/>
      <c r="L25" s="3"/>
      <c r="M25" s="3"/>
      <c r="N25" s="3"/>
      <c r="O25" s="3"/>
      <c r="P25" s="3"/>
      <c r="Q25" s="3"/>
      <c r="R25" s="3"/>
      <c r="S25" s="3"/>
      <c r="T25" s="3"/>
      <c r="U25" s="3"/>
      <c r="V25" s="3"/>
      <c r="W25" s="3"/>
      <c r="X25" s="3"/>
      <c r="Y25" s="3"/>
      <c r="Z25" s="3"/>
    </row>
    <row r="26" spans="1:26" x14ac:dyDescent="0.25">
      <c r="A26" s="3"/>
      <c r="B26" s="3"/>
      <c r="C26" s="3"/>
      <c r="D26" s="3"/>
      <c r="E26" s="3"/>
      <c r="F26" s="3"/>
      <c r="G26" s="3"/>
      <c r="H26" s="3"/>
      <c r="I26" s="3"/>
      <c r="J26" s="3"/>
      <c r="K26" s="3"/>
      <c r="L26" s="3"/>
      <c r="M26" s="3"/>
      <c r="N26" s="3"/>
      <c r="O26" s="3"/>
      <c r="P26" s="3"/>
      <c r="Q26" s="3"/>
      <c r="R26" s="3"/>
      <c r="S26" s="3"/>
      <c r="T26" s="3"/>
      <c r="U26" s="3"/>
      <c r="V26" s="3"/>
      <c r="W26" s="3"/>
      <c r="X26" s="3"/>
      <c r="Y26" s="3"/>
      <c r="Z26" s="3"/>
    </row>
    <row r="27" spans="1:26" x14ac:dyDescent="0.25">
      <c r="A27" s="3"/>
      <c r="B27" s="3"/>
      <c r="C27" s="3"/>
      <c r="D27" s="3"/>
      <c r="E27" s="3"/>
      <c r="F27" s="3"/>
      <c r="G27" s="3"/>
      <c r="H27" s="3"/>
      <c r="I27" s="3"/>
      <c r="J27" s="3"/>
      <c r="K27" s="3"/>
      <c r="L27" s="3"/>
      <c r="M27" s="3"/>
      <c r="N27" s="3"/>
      <c r="O27" s="3"/>
      <c r="P27" s="3"/>
      <c r="Q27" s="3"/>
      <c r="R27" s="3"/>
      <c r="S27" s="3"/>
      <c r="T27" s="3"/>
      <c r="U27" s="3"/>
      <c r="V27" s="3"/>
      <c r="W27" s="3"/>
      <c r="X27" s="3"/>
      <c r="Y27" s="3"/>
      <c r="Z27" s="3"/>
    </row>
    <row r="28" spans="1:26" x14ac:dyDescent="0.25">
      <c r="A28" s="3"/>
      <c r="B28" s="3"/>
      <c r="C28" s="3"/>
      <c r="D28" s="3"/>
      <c r="E28" s="3"/>
      <c r="F28" s="3"/>
      <c r="G28" s="3"/>
      <c r="H28" s="3"/>
      <c r="I28" s="3"/>
      <c r="J28" s="3"/>
      <c r="K28" s="3"/>
      <c r="L28" s="3"/>
      <c r="M28" s="3"/>
      <c r="N28" s="3"/>
      <c r="O28" s="3"/>
      <c r="P28" s="3"/>
      <c r="Q28" s="3"/>
      <c r="R28" s="3"/>
      <c r="S28" s="3"/>
      <c r="T28" s="3"/>
      <c r="U28" s="3"/>
      <c r="V28" s="3"/>
      <c r="W28" s="3"/>
      <c r="X28" s="3"/>
      <c r="Y28" s="3"/>
      <c r="Z28" s="3"/>
    </row>
    <row r="29" spans="1:26" x14ac:dyDescent="0.25">
      <c r="A29" s="3"/>
      <c r="B29" s="3"/>
      <c r="C29" s="3"/>
      <c r="D29" s="3"/>
      <c r="E29" s="3"/>
      <c r="F29" s="3"/>
      <c r="G29" s="3"/>
      <c r="H29" s="3"/>
      <c r="I29" s="3"/>
      <c r="J29" s="3"/>
      <c r="K29" s="3"/>
      <c r="L29" s="3"/>
      <c r="M29" s="3"/>
      <c r="N29" s="3"/>
      <c r="O29" s="3"/>
      <c r="P29" s="3"/>
      <c r="Q29" s="3"/>
      <c r="R29" s="3"/>
      <c r="S29" s="3"/>
      <c r="T29" s="3"/>
      <c r="U29" s="3"/>
      <c r="V29" s="3"/>
      <c r="W29" s="3"/>
      <c r="X29" s="3"/>
      <c r="Y29" s="3"/>
      <c r="Z29" s="3"/>
    </row>
    <row r="30" spans="1:26" x14ac:dyDescent="0.25">
      <c r="A30" s="3"/>
      <c r="B30" s="3"/>
      <c r="C30" s="3"/>
      <c r="D30" s="3"/>
      <c r="E30" s="3"/>
      <c r="F30" s="3"/>
      <c r="G30" s="3"/>
      <c r="H30" s="3"/>
      <c r="I30" s="3"/>
      <c r="J30" s="3"/>
      <c r="K30" s="3"/>
      <c r="L30" s="3"/>
      <c r="M30" s="3"/>
      <c r="N30" s="3"/>
      <c r="O30" s="3"/>
      <c r="P30" s="3"/>
      <c r="Q30" s="3"/>
      <c r="R30" s="3"/>
      <c r="S30" s="3"/>
      <c r="T30" s="3"/>
      <c r="U30" s="3"/>
      <c r="V30" s="3"/>
      <c r="W30" s="3"/>
      <c r="X30" s="3"/>
      <c r="Y30" s="3"/>
      <c r="Z30" s="3"/>
    </row>
    <row r="31" spans="1:26" x14ac:dyDescent="0.25">
      <c r="A31" s="3"/>
      <c r="B31" s="3"/>
      <c r="C31" s="3"/>
      <c r="D31" s="3"/>
      <c r="E31" s="3"/>
      <c r="F31" s="3"/>
      <c r="G31" s="3"/>
      <c r="H31" s="3"/>
      <c r="I31" s="3"/>
      <c r="J31" s="3"/>
      <c r="K31" s="3"/>
      <c r="L31" s="3"/>
      <c r="M31" s="3"/>
      <c r="N31" s="3"/>
      <c r="O31" s="3"/>
      <c r="P31" s="3"/>
      <c r="Q31" s="3"/>
      <c r="R31" s="3"/>
      <c r="S31" s="3"/>
      <c r="T31" s="3"/>
      <c r="U31" s="3"/>
      <c r="V31" s="3"/>
      <c r="W31" s="3"/>
      <c r="X31" s="3"/>
      <c r="Y31" s="3"/>
      <c r="Z31" s="3"/>
    </row>
    <row r="32" spans="1:26" x14ac:dyDescent="0.25">
      <c r="A32" s="3"/>
      <c r="B32" s="3"/>
      <c r="C32" s="3"/>
      <c r="D32" s="3"/>
      <c r="E32" s="3"/>
      <c r="F32" s="3"/>
      <c r="G32" s="3"/>
      <c r="H32" s="3"/>
      <c r="I32" s="3"/>
      <c r="J32" s="3"/>
      <c r="K32" s="3"/>
      <c r="L32" s="3"/>
      <c r="M32" s="3"/>
      <c r="N32" s="3"/>
      <c r="O32" s="3"/>
      <c r="P32" s="3"/>
      <c r="Q32" s="3"/>
      <c r="R32" s="3"/>
      <c r="S32" s="3"/>
      <c r="T32" s="3"/>
      <c r="U32" s="3"/>
      <c r="V32" s="3"/>
      <c r="W32" s="3"/>
      <c r="X32" s="3"/>
      <c r="Y32" s="3"/>
      <c r="Z32" s="3"/>
    </row>
    <row r="33" spans="1:26" x14ac:dyDescent="0.25">
      <c r="A33" s="3"/>
      <c r="B33" s="3"/>
      <c r="C33" s="3"/>
      <c r="D33" s="3"/>
      <c r="E33" s="3"/>
      <c r="F33" s="3"/>
      <c r="G33" s="3"/>
      <c r="H33" s="3"/>
      <c r="I33" s="3"/>
      <c r="J33" s="3"/>
      <c r="K33" s="3"/>
      <c r="L33" s="3"/>
      <c r="M33" s="3"/>
      <c r="N33" s="3"/>
      <c r="O33" s="3"/>
      <c r="P33" s="3"/>
      <c r="Q33" s="3"/>
      <c r="R33" s="3"/>
      <c r="S33" s="3"/>
      <c r="T33" s="3"/>
      <c r="U33" s="3"/>
      <c r="V33" s="3"/>
      <c r="W33" s="3"/>
      <c r="X33" s="3"/>
      <c r="Y33" s="3"/>
      <c r="Z33" s="3"/>
    </row>
    <row r="34" spans="1:26" x14ac:dyDescent="0.25">
      <c r="A34" s="3"/>
      <c r="B34" s="3"/>
      <c r="C34" s="3"/>
      <c r="D34" s="3"/>
      <c r="E34" s="3"/>
      <c r="F34" s="3"/>
      <c r="G34" s="3"/>
      <c r="H34" s="3"/>
      <c r="I34" s="3"/>
      <c r="J34" s="3"/>
      <c r="K34" s="3"/>
      <c r="L34" s="3"/>
      <c r="M34" s="3"/>
      <c r="N34" s="3"/>
      <c r="O34" s="3"/>
      <c r="P34" s="3"/>
      <c r="Q34" s="3"/>
      <c r="R34" s="3"/>
      <c r="S34" s="3"/>
      <c r="T34" s="3"/>
      <c r="U34" s="3"/>
      <c r="V34" s="3"/>
      <c r="W34" s="3"/>
      <c r="X34" s="3"/>
      <c r="Y34" s="3"/>
      <c r="Z34" s="3"/>
    </row>
    <row r="35" spans="1:26" x14ac:dyDescent="0.25">
      <c r="A35" s="3"/>
      <c r="B35" s="3"/>
      <c r="C35" s="3"/>
      <c r="D35" s="3"/>
      <c r="E35" s="3"/>
      <c r="F35" s="3"/>
      <c r="G35" s="3"/>
      <c r="H35" s="3"/>
      <c r="I35" s="3"/>
      <c r="J35" s="3"/>
      <c r="K35" s="3"/>
      <c r="L35" s="3"/>
      <c r="M35" s="3"/>
      <c r="N35" s="3"/>
      <c r="O35" s="3"/>
      <c r="P35" s="3"/>
      <c r="Q35" s="3"/>
      <c r="R35" s="3"/>
      <c r="S35" s="3"/>
      <c r="T35" s="3"/>
      <c r="U35" s="3"/>
      <c r="V35" s="3"/>
      <c r="W35" s="3"/>
      <c r="X35" s="3"/>
      <c r="Y35" s="3"/>
      <c r="Z35" s="3"/>
    </row>
    <row r="36" spans="1:26" x14ac:dyDescent="0.25">
      <c r="A36" s="3"/>
      <c r="B36" s="3"/>
      <c r="C36" s="3"/>
      <c r="D36" s="3"/>
      <c r="E36" s="3"/>
      <c r="F36" s="3"/>
      <c r="G36" s="3"/>
      <c r="H36" s="3"/>
      <c r="I36" s="3"/>
      <c r="J36" s="3"/>
      <c r="K36" s="3"/>
      <c r="L36" s="3"/>
      <c r="M36" s="3"/>
      <c r="N36" s="3"/>
      <c r="O36" s="3"/>
      <c r="P36" s="3"/>
      <c r="Q36" s="3"/>
      <c r="R36" s="3"/>
      <c r="S36" s="3"/>
      <c r="T36" s="3"/>
      <c r="U36" s="3"/>
      <c r="V36" s="3"/>
      <c r="W36" s="3"/>
      <c r="X36" s="3"/>
      <c r="Y36" s="3"/>
      <c r="Z36" s="3"/>
    </row>
    <row r="37" spans="1:26" x14ac:dyDescent="0.25">
      <c r="A37" s="3"/>
      <c r="B37" s="3"/>
      <c r="C37" s="3"/>
      <c r="D37" s="3"/>
      <c r="E37" s="3"/>
      <c r="F37" s="3"/>
      <c r="G37" s="3"/>
      <c r="H37" s="3"/>
      <c r="I37" s="3"/>
      <c r="J37" s="3"/>
      <c r="K37" s="3"/>
      <c r="L37" s="3"/>
      <c r="M37" s="3"/>
      <c r="N37" s="3"/>
      <c r="O37" s="3"/>
      <c r="P37" s="3"/>
      <c r="Q37" s="3"/>
      <c r="R37" s="3"/>
      <c r="S37" s="3"/>
      <c r="T37" s="3"/>
      <c r="U37" s="3"/>
      <c r="V37" s="3"/>
      <c r="W37" s="3"/>
      <c r="X37" s="3"/>
      <c r="Y37" s="3"/>
      <c r="Z37" s="3"/>
    </row>
    <row r="38" spans="1:26" x14ac:dyDescent="0.25">
      <c r="A38" s="3"/>
      <c r="B38" s="3"/>
      <c r="C38" s="3"/>
      <c r="D38" s="3"/>
      <c r="E38" s="3"/>
      <c r="F38" s="3"/>
      <c r="G38" s="3"/>
      <c r="H38" s="3"/>
      <c r="I38" s="3"/>
      <c r="J38" s="3"/>
      <c r="K38" s="3"/>
      <c r="L38" s="3"/>
      <c r="M38" s="3"/>
      <c r="N38" s="3"/>
      <c r="O38" s="3"/>
      <c r="P38" s="3"/>
      <c r="Q38" s="3"/>
      <c r="R38" s="3"/>
      <c r="S38" s="3"/>
      <c r="T38" s="3"/>
      <c r="U38" s="3"/>
      <c r="V38" s="3"/>
      <c r="W38" s="3"/>
      <c r="X38" s="3"/>
      <c r="Y38" s="3"/>
      <c r="Z38" s="3"/>
    </row>
    <row r="39" spans="1:26" x14ac:dyDescent="0.25">
      <c r="A39" s="3"/>
      <c r="B39" s="3"/>
      <c r="C39" s="3"/>
      <c r="D39" s="3"/>
      <c r="E39" s="3"/>
      <c r="F39" s="3"/>
      <c r="G39" s="3"/>
      <c r="H39" s="3"/>
      <c r="I39" s="3"/>
      <c r="J39" s="3"/>
      <c r="K39" s="3"/>
      <c r="L39" s="3"/>
      <c r="M39" s="3"/>
      <c r="N39" s="3"/>
      <c r="O39" s="3"/>
      <c r="P39" s="3"/>
      <c r="Q39" s="3"/>
      <c r="R39" s="3"/>
      <c r="S39" s="3"/>
      <c r="T39" s="3"/>
      <c r="U39" s="3"/>
      <c r="V39" s="3"/>
      <c r="W39" s="3"/>
      <c r="X39" s="3"/>
      <c r="Y39" s="3"/>
      <c r="Z39" s="3"/>
    </row>
    <row r="40" spans="1:26" x14ac:dyDescent="0.25">
      <c r="A40" s="3"/>
      <c r="B40" s="3"/>
      <c r="C40" s="3"/>
      <c r="D40" s="3"/>
      <c r="E40" s="3"/>
      <c r="F40" s="3"/>
      <c r="G40" s="3"/>
      <c r="H40" s="3"/>
      <c r="I40" s="3"/>
      <c r="J40" s="3"/>
      <c r="K40" s="3"/>
      <c r="L40" s="3"/>
      <c r="M40" s="3"/>
      <c r="N40" s="3"/>
      <c r="O40" s="3"/>
      <c r="P40" s="3"/>
      <c r="Q40" s="3"/>
      <c r="R40" s="3"/>
      <c r="S40" s="3"/>
      <c r="T40" s="3"/>
      <c r="U40" s="3"/>
      <c r="V40" s="3"/>
      <c r="W40" s="3"/>
      <c r="X40" s="3"/>
      <c r="Y40" s="3"/>
      <c r="Z40" s="3"/>
    </row>
    <row r="41" spans="1:26" x14ac:dyDescent="0.25">
      <c r="A41" s="3"/>
      <c r="B41" s="3"/>
      <c r="C41" s="3"/>
      <c r="D41" s="3"/>
      <c r="E41" s="3"/>
      <c r="F41" s="3"/>
      <c r="G41" s="3"/>
      <c r="H41" s="3"/>
      <c r="I41" s="3"/>
      <c r="J41" s="3"/>
      <c r="K41" s="3"/>
      <c r="L41" s="3"/>
      <c r="M41" s="3"/>
      <c r="N41" s="3"/>
      <c r="O41" s="3"/>
      <c r="P41" s="3"/>
      <c r="Q41" s="3"/>
      <c r="R41" s="3"/>
      <c r="S41" s="3"/>
      <c r="T41" s="3"/>
      <c r="U41" s="3"/>
      <c r="V41" s="3"/>
      <c r="W41" s="3"/>
      <c r="X41" s="3"/>
      <c r="Y41" s="3"/>
      <c r="Z41" s="3"/>
    </row>
    <row r="42" spans="1:26" x14ac:dyDescent="0.25">
      <c r="A42" s="3"/>
      <c r="B42" s="3"/>
      <c r="C42" s="3"/>
      <c r="D42" s="3"/>
      <c r="E42" s="3"/>
      <c r="F42" s="3"/>
      <c r="G42" s="3"/>
      <c r="H42" s="3"/>
      <c r="I42" s="3"/>
      <c r="J42" s="3"/>
      <c r="K42" s="3"/>
      <c r="L42" s="3"/>
      <c r="M42" s="3"/>
      <c r="N42" s="3"/>
      <c r="O42" s="3"/>
      <c r="P42" s="3"/>
      <c r="Q42" s="3"/>
      <c r="R42" s="3"/>
      <c r="S42" s="3"/>
      <c r="T42" s="3"/>
      <c r="U42" s="3"/>
      <c r="V42" s="3"/>
      <c r="W42" s="3"/>
      <c r="X42" s="3"/>
      <c r="Y42" s="3"/>
      <c r="Z42" s="3"/>
    </row>
    <row r="43" spans="1:26" x14ac:dyDescent="0.25">
      <c r="A43" s="3"/>
      <c r="B43" s="3"/>
      <c r="C43" s="3"/>
      <c r="D43" s="3"/>
      <c r="E43" s="3"/>
      <c r="F43" s="3"/>
      <c r="G43" s="3"/>
      <c r="H43" s="3"/>
      <c r="I43" s="3"/>
      <c r="J43" s="3"/>
      <c r="K43" s="3"/>
      <c r="L43" s="3"/>
      <c r="M43" s="3"/>
      <c r="N43" s="3"/>
      <c r="O43" s="3"/>
      <c r="P43" s="3"/>
      <c r="Q43" s="3"/>
      <c r="R43" s="3"/>
      <c r="S43" s="3"/>
      <c r="T43" s="3"/>
      <c r="U43" s="3"/>
      <c r="V43" s="3"/>
      <c r="W43" s="3"/>
      <c r="X43" s="3"/>
      <c r="Y43" s="3"/>
      <c r="Z43" s="3"/>
    </row>
    <row r="44" spans="1:26" x14ac:dyDescent="0.25">
      <c r="A44" s="3"/>
      <c r="B44" s="3"/>
      <c r="C44" s="3"/>
      <c r="D44" s="3"/>
      <c r="E44" s="3"/>
      <c r="F44" s="3"/>
      <c r="G44" s="3"/>
      <c r="H44" s="3"/>
      <c r="I44" s="3"/>
      <c r="J44" s="3"/>
      <c r="K44" s="3"/>
      <c r="L44" s="3"/>
      <c r="M44" s="3"/>
      <c r="N44" s="3"/>
      <c r="O44" s="3"/>
      <c r="P44" s="3"/>
      <c r="Q44" s="3"/>
      <c r="R44" s="3"/>
      <c r="S44" s="3"/>
      <c r="T44" s="3"/>
      <c r="U44" s="3"/>
      <c r="V44" s="3"/>
      <c r="W44" s="3"/>
      <c r="X44" s="3"/>
      <c r="Y44" s="3"/>
      <c r="Z44" s="3"/>
    </row>
    <row r="45" spans="1:26" x14ac:dyDescent="0.25">
      <c r="A45" s="3"/>
      <c r="B45" s="3"/>
      <c r="C45" s="3"/>
      <c r="D45" s="3"/>
      <c r="E45" s="3"/>
      <c r="F45" s="3"/>
      <c r="G45" s="3"/>
      <c r="H45" s="3"/>
      <c r="I45" s="3"/>
      <c r="J45" s="3"/>
      <c r="K45" s="3"/>
      <c r="L45" s="3"/>
      <c r="M45" s="3"/>
      <c r="N45" s="3"/>
      <c r="O45" s="3"/>
      <c r="P45" s="3"/>
      <c r="Q45" s="3"/>
      <c r="R45" s="3"/>
      <c r="S45" s="3"/>
      <c r="T45" s="3"/>
      <c r="U45" s="3"/>
      <c r="V45" s="3"/>
      <c r="W45" s="3"/>
      <c r="X45" s="3"/>
      <c r="Y45" s="3"/>
      <c r="Z45" s="3"/>
    </row>
    <row r="46" spans="1:26" x14ac:dyDescent="0.25">
      <c r="A46" s="3"/>
      <c r="B46" s="3"/>
      <c r="C46" s="3"/>
      <c r="D46" s="3"/>
      <c r="E46" s="3"/>
      <c r="F46" s="3"/>
      <c r="G46" s="3"/>
      <c r="H46" s="3"/>
      <c r="I46" s="3"/>
      <c r="J46" s="3"/>
      <c r="K46" s="3"/>
      <c r="L46" s="3"/>
      <c r="M46" s="3"/>
      <c r="N46" s="3"/>
      <c r="O46" s="3"/>
      <c r="P46" s="3"/>
      <c r="Q46" s="3"/>
      <c r="R46" s="3"/>
      <c r="S46" s="3"/>
      <c r="T46" s="3"/>
      <c r="U46" s="3"/>
      <c r="V46" s="3"/>
      <c r="W46" s="3"/>
      <c r="X46" s="3"/>
      <c r="Y46" s="3"/>
      <c r="Z46" s="3"/>
    </row>
    <row r="47" spans="1:26" x14ac:dyDescent="0.25">
      <c r="A47" s="3"/>
      <c r="B47" s="3"/>
      <c r="C47" s="3"/>
      <c r="D47" s="3"/>
      <c r="E47" s="3"/>
      <c r="F47" s="3"/>
      <c r="G47" s="3"/>
      <c r="H47" s="3"/>
      <c r="I47" s="3"/>
      <c r="J47" s="3"/>
      <c r="K47" s="3"/>
      <c r="L47" s="3"/>
      <c r="M47" s="3"/>
      <c r="N47" s="3"/>
      <c r="O47" s="3"/>
      <c r="P47" s="3"/>
      <c r="Q47" s="3"/>
      <c r="R47" s="3"/>
      <c r="S47" s="3"/>
      <c r="T47" s="3"/>
      <c r="U47" s="3"/>
      <c r="V47" s="3"/>
      <c r="W47" s="3"/>
      <c r="X47" s="3"/>
      <c r="Y47" s="3"/>
      <c r="Z47" s="3"/>
    </row>
    <row r="48" spans="1:26" x14ac:dyDescent="0.25">
      <c r="A48" s="3"/>
      <c r="B48" s="3"/>
      <c r="C48" s="3"/>
      <c r="D48" s="3"/>
      <c r="E48" s="3"/>
      <c r="F48" s="3"/>
      <c r="G48" s="3"/>
      <c r="H48" s="3"/>
      <c r="I48" s="3"/>
      <c r="J48" s="3"/>
      <c r="K48" s="3"/>
      <c r="L48" s="3"/>
      <c r="M48" s="3"/>
      <c r="N48" s="3"/>
      <c r="O48" s="3"/>
      <c r="P48" s="3"/>
      <c r="Q48" s="3"/>
      <c r="R48" s="3"/>
      <c r="S48" s="3"/>
      <c r="T48" s="3"/>
      <c r="U48" s="3"/>
      <c r="V48" s="3"/>
      <c r="W48" s="3"/>
      <c r="X48" s="3"/>
      <c r="Y48" s="3"/>
      <c r="Z48" s="3"/>
    </row>
    <row r="49" spans="1:26" x14ac:dyDescent="0.25">
      <c r="A49" s="3"/>
      <c r="B49" s="3"/>
      <c r="C49" s="3"/>
      <c r="D49" s="3"/>
      <c r="E49" s="3"/>
      <c r="F49" s="3"/>
      <c r="G49" s="3"/>
      <c r="H49" s="3"/>
      <c r="I49" s="3"/>
      <c r="J49" s="3"/>
      <c r="K49" s="3"/>
      <c r="L49" s="3"/>
      <c r="M49" s="3"/>
      <c r="N49" s="3"/>
      <c r="O49" s="3"/>
      <c r="P49" s="3"/>
      <c r="Q49" s="3"/>
      <c r="R49" s="3"/>
      <c r="S49" s="3"/>
      <c r="T49" s="3"/>
      <c r="U49" s="3"/>
      <c r="V49" s="3"/>
      <c r="W49" s="3"/>
      <c r="X49" s="3"/>
      <c r="Y49" s="3"/>
      <c r="Z49" s="3"/>
    </row>
    <row r="50" spans="1:26" x14ac:dyDescent="0.25">
      <c r="A50" s="3"/>
      <c r="B50" s="3"/>
      <c r="C50" s="3"/>
      <c r="D50" s="3"/>
      <c r="E50" s="3"/>
      <c r="F50" s="3"/>
      <c r="G50" s="3"/>
      <c r="H50" s="3"/>
      <c r="I50" s="3"/>
      <c r="J50" s="3"/>
      <c r="K50" s="3"/>
      <c r="L50" s="3"/>
      <c r="M50" s="3"/>
      <c r="N50" s="3"/>
      <c r="O50" s="3"/>
      <c r="P50" s="3"/>
      <c r="Q50" s="3"/>
      <c r="R50" s="3"/>
      <c r="S50" s="3"/>
      <c r="T50" s="3"/>
      <c r="U50" s="3"/>
      <c r="V50" s="3"/>
      <c r="W50" s="3"/>
      <c r="X50" s="3"/>
      <c r="Y50" s="3"/>
      <c r="Z50" s="3"/>
    </row>
    <row r="51" spans="1:26" x14ac:dyDescent="0.25">
      <c r="A51" s="3"/>
      <c r="B51" s="3"/>
      <c r="C51" s="3"/>
      <c r="D51" s="3"/>
      <c r="E51" s="3"/>
      <c r="F51" s="3"/>
      <c r="G51" s="3"/>
      <c r="H51" s="3"/>
      <c r="I51" s="3"/>
      <c r="J51" s="3"/>
      <c r="K51" s="3"/>
      <c r="L51" s="3"/>
      <c r="M51" s="3"/>
      <c r="N51" s="3"/>
      <c r="O51" s="3"/>
      <c r="P51" s="3"/>
      <c r="Q51" s="3"/>
      <c r="R51" s="3"/>
      <c r="S51" s="3"/>
      <c r="T51" s="3"/>
      <c r="U51" s="3"/>
      <c r="V51" s="3"/>
      <c r="W51" s="3"/>
      <c r="X51" s="3"/>
      <c r="Y51" s="3"/>
      <c r="Z51" s="3"/>
    </row>
    <row r="52" spans="1:26" x14ac:dyDescent="0.25">
      <c r="A52" s="3"/>
      <c r="B52" s="3"/>
      <c r="C52" s="3"/>
      <c r="D52" s="3"/>
      <c r="E52" s="3"/>
      <c r="F52" s="3"/>
      <c r="G52" s="3"/>
      <c r="H52" s="3"/>
      <c r="I52" s="3"/>
      <c r="J52" s="3"/>
      <c r="K52" s="3"/>
      <c r="L52" s="3"/>
      <c r="M52" s="3"/>
      <c r="N52" s="3"/>
      <c r="O52" s="3"/>
      <c r="P52" s="3"/>
      <c r="Q52" s="3"/>
      <c r="R52" s="3"/>
      <c r="S52" s="3"/>
      <c r="T52" s="3"/>
      <c r="U52" s="3"/>
      <c r="V52" s="3"/>
      <c r="W52" s="3"/>
      <c r="X52" s="3"/>
      <c r="Y52" s="3"/>
      <c r="Z52" s="3"/>
    </row>
    <row r="53" spans="1:26" x14ac:dyDescent="0.25">
      <c r="A53" s="3"/>
      <c r="B53" s="3"/>
      <c r="C53" s="3"/>
      <c r="D53" s="3"/>
      <c r="E53" s="3"/>
      <c r="F53" s="3"/>
      <c r="G53" s="3"/>
      <c r="H53" s="3"/>
      <c r="I53" s="3"/>
      <c r="J53" s="3"/>
      <c r="K53" s="3"/>
      <c r="L53" s="3"/>
      <c r="M53" s="3"/>
      <c r="N53" s="3"/>
      <c r="O53" s="3"/>
      <c r="P53" s="3"/>
      <c r="Q53" s="3"/>
      <c r="R53" s="3"/>
      <c r="S53" s="3"/>
      <c r="T53" s="3"/>
      <c r="U53" s="3"/>
      <c r="V53" s="3"/>
      <c r="W53" s="3"/>
      <c r="X53" s="3"/>
      <c r="Y53" s="3"/>
      <c r="Z53" s="3"/>
    </row>
    <row r="54" spans="1:26" x14ac:dyDescent="0.25">
      <c r="A54" s="3"/>
      <c r="B54" s="3"/>
      <c r="C54" s="3"/>
      <c r="D54" s="3"/>
      <c r="E54" s="3"/>
      <c r="F54" s="3"/>
      <c r="G54" s="3"/>
      <c r="H54" s="3"/>
      <c r="I54" s="3"/>
      <c r="J54" s="3"/>
      <c r="K54" s="3"/>
      <c r="L54" s="3"/>
      <c r="M54" s="3"/>
      <c r="N54" s="3"/>
      <c r="O54" s="3"/>
      <c r="P54" s="3"/>
      <c r="Q54" s="3"/>
      <c r="R54" s="3"/>
      <c r="S54" s="3"/>
      <c r="T54" s="3"/>
      <c r="U54" s="3"/>
      <c r="V54" s="3"/>
      <c r="W54" s="3"/>
      <c r="X54" s="3"/>
      <c r="Y54" s="3"/>
      <c r="Z54" s="3"/>
    </row>
    <row r="55" spans="1:26" x14ac:dyDescent="0.25">
      <c r="A55" s="3"/>
      <c r="B55" s="3"/>
      <c r="C55" s="3"/>
      <c r="D55" s="3"/>
      <c r="E55" s="3"/>
      <c r="F55" s="3"/>
      <c r="G55" s="3"/>
      <c r="H55" s="3"/>
      <c r="I55" s="3"/>
      <c r="J55" s="3"/>
      <c r="K55" s="3"/>
      <c r="L55" s="3"/>
      <c r="M55" s="3"/>
      <c r="N55" s="3"/>
      <c r="O55" s="3"/>
      <c r="P55" s="3"/>
      <c r="Q55" s="3"/>
      <c r="R55" s="3"/>
      <c r="S55" s="3"/>
      <c r="T55" s="3"/>
      <c r="U55" s="3"/>
      <c r="V55" s="3"/>
      <c r="W55" s="3"/>
      <c r="X55" s="3"/>
      <c r="Y55" s="3"/>
      <c r="Z55" s="3"/>
    </row>
    <row r="56" spans="1:26" x14ac:dyDescent="0.25">
      <c r="A56" s="3"/>
      <c r="B56" s="3"/>
      <c r="C56" s="3"/>
      <c r="D56" s="3"/>
      <c r="E56" s="3"/>
      <c r="F56" s="3"/>
      <c r="G56" s="3"/>
      <c r="H56" s="3"/>
      <c r="I56" s="3"/>
      <c r="J56" s="3"/>
      <c r="K56" s="3"/>
      <c r="L56" s="3"/>
      <c r="M56" s="3"/>
      <c r="N56" s="3"/>
      <c r="O56" s="3"/>
      <c r="P56" s="3"/>
      <c r="Q56" s="3"/>
      <c r="R56" s="3"/>
      <c r="S56" s="3"/>
      <c r="T56" s="3"/>
      <c r="U56" s="3"/>
      <c r="V56" s="3"/>
      <c r="W56" s="3"/>
      <c r="X56" s="3"/>
      <c r="Y56" s="3"/>
      <c r="Z56" s="3"/>
    </row>
    <row r="57" spans="1:26" x14ac:dyDescent="0.25">
      <c r="A57" s="3"/>
      <c r="B57" s="3"/>
      <c r="C57" s="3"/>
      <c r="D57" s="3"/>
      <c r="E57" s="3"/>
      <c r="F57" s="3"/>
      <c r="G57" s="3"/>
      <c r="H57" s="3"/>
      <c r="I57" s="3"/>
      <c r="J57" s="3"/>
      <c r="K57" s="3"/>
      <c r="L57" s="3"/>
      <c r="M57" s="3"/>
      <c r="N57" s="3"/>
      <c r="O57" s="3"/>
      <c r="P57" s="3"/>
      <c r="Q57" s="3"/>
      <c r="R57" s="3"/>
      <c r="S57" s="3"/>
      <c r="T57" s="3"/>
      <c r="U57" s="3"/>
      <c r="V57" s="3"/>
      <c r="W57" s="3"/>
      <c r="X57" s="3"/>
      <c r="Y57" s="3"/>
      <c r="Z57" s="3"/>
    </row>
    <row r="58" spans="1:26" x14ac:dyDescent="0.25">
      <c r="A58" s="3"/>
      <c r="B58" s="3"/>
      <c r="C58" s="3"/>
      <c r="D58" s="3"/>
      <c r="E58" s="3"/>
      <c r="F58" s="3"/>
      <c r="G58" s="3"/>
      <c r="H58" s="3"/>
      <c r="I58" s="3"/>
      <c r="J58" s="3"/>
      <c r="K58" s="3"/>
      <c r="L58" s="3"/>
      <c r="M58" s="3"/>
      <c r="N58" s="3"/>
      <c r="O58" s="3"/>
      <c r="P58" s="3"/>
      <c r="Q58" s="3"/>
      <c r="R58" s="3"/>
      <c r="S58" s="3"/>
      <c r="T58" s="3"/>
      <c r="U58" s="3"/>
      <c r="V58" s="3"/>
      <c r="W58" s="3"/>
      <c r="X58" s="3"/>
      <c r="Y58" s="3"/>
      <c r="Z58" s="3"/>
    </row>
    <row r="59" spans="1:26" x14ac:dyDescent="0.25">
      <c r="A59" s="3"/>
      <c r="B59" s="3"/>
      <c r="C59" s="3"/>
      <c r="D59" s="3"/>
      <c r="E59" s="3"/>
      <c r="F59" s="3"/>
      <c r="G59" s="3"/>
      <c r="H59" s="3"/>
      <c r="I59" s="3"/>
      <c r="J59" s="3"/>
      <c r="K59" s="3"/>
      <c r="L59" s="3"/>
      <c r="M59" s="3"/>
      <c r="N59" s="3"/>
      <c r="O59" s="3"/>
      <c r="P59" s="3"/>
      <c r="Q59" s="3"/>
      <c r="R59" s="3"/>
      <c r="S59" s="3"/>
      <c r="T59" s="3"/>
      <c r="U59" s="3"/>
      <c r="V59" s="3"/>
      <c r="W59" s="3"/>
      <c r="X59" s="3"/>
      <c r="Y59" s="3"/>
      <c r="Z59" s="3"/>
    </row>
    <row r="60" spans="1:26" x14ac:dyDescent="0.25">
      <c r="A60" s="3"/>
      <c r="B60" s="3"/>
      <c r="C60" s="3"/>
      <c r="D60" s="3"/>
      <c r="E60" s="3"/>
      <c r="F60" s="3"/>
      <c r="G60" s="3"/>
      <c r="H60" s="3"/>
      <c r="I60" s="3"/>
      <c r="J60" s="3"/>
      <c r="K60" s="3"/>
      <c r="L60" s="3"/>
      <c r="M60" s="3"/>
      <c r="N60" s="3"/>
      <c r="O60" s="3"/>
      <c r="P60" s="3"/>
      <c r="Q60" s="3"/>
      <c r="R60" s="3"/>
      <c r="S60" s="3"/>
      <c r="T60" s="3"/>
      <c r="U60" s="3"/>
      <c r="V60" s="3"/>
      <c r="W60" s="3"/>
      <c r="X60" s="3"/>
      <c r="Y60" s="3"/>
      <c r="Z60" s="3"/>
    </row>
    <row r="61" spans="1:26" x14ac:dyDescent="0.25">
      <c r="A61" s="3"/>
      <c r="B61" s="3"/>
      <c r="C61" s="3"/>
      <c r="D61" s="3"/>
      <c r="E61" s="3"/>
      <c r="F61" s="3"/>
      <c r="G61" s="3"/>
      <c r="H61" s="3"/>
      <c r="I61" s="3"/>
      <c r="J61" s="3"/>
      <c r="K61" s="3"/>
      <c r="L61" s="3"/>
      <c r="M61" s="3"/>
      <c r="N61" s="3"/>
      <c r="O61" s="3"/>
      <c r="P61" s="3"/>
      <c r="Q61" s="3"/>
      <c r="R61" s="3"/>
      <c r="S61" s="3"/>
      <c r="T61" s="3"/>
      <c r="U61" s="3"/>
      <c r="V61" s="3"/>
      <c r="W61" s="3"/>
      <c r="X61" s="3"/>
      <c r="Y61" s="3"/>
      <c r="Z61" s="3"/>
    </row>
    <row r="62" spans="1:26" x14ac:dyDescent="0.25">
      <c r="A62" s="3"/>
      <c r="B62" s="3"/>
      <c r="C62" s="3"/>
      <c r="D62" s="3"/>
      <c r="E62" s="3"/>
      <c r="F62" s="3"/>
      <c r="G62" s="3"/>
      <c r="H62" s="3"/>
      <c r="I62" s="3"/>
      <c r="J62" s="3"/>
      <c r="K62" s="3"/>
      <c r="L62" s="3"/>
      <c r="M62" s="3"/>
      <c r="N62" s="3"/>
      <c r="O62" s="3"/>
      <c r="P62" s="3"/>
      <c r="Q62" s="3"/>
      <c r="R62" s="3"/>
      <c r="S62" s="3"/>
      <c r="T62" s="3"/>
      <c r="U62" s="3"/>
      <c r="V62" s="3"/>
      <c r="W62" s="3"/>
      <c r="X62" s="3"/>
      <c r="Y62" s="3"/>
      <c r="Z62" s="3"/>
    </row>
    <row r="63" spans="1:26" x14ac:dyDescent="0.25">
      <c r="A63" s="3"/>
      <c r="B63" s="3"/>
      <c r="C63" s="3"/>
      <c r="D63" s="3"/>
      <c r="E63" s="3"/>
      <c r="F63" s="3"/>
      <c r="G63" s="3"/>
      <c r="H63" s="3"/>
      <c r="I63" s="3"/>
      <c r="J63" s="3"/>
      <c r="K63" s="3"/>
      <c r="L63" s="3"/>
      <c r="M63" s="3"/>
      <c r="N63" s="3"/>
      <c r="O63" s="3"/>
      <c r="P63" s="3"/>
      <c r="Q63" s="3"/>
      <c r="R63" s="3"/>
      <c r="S63" s="3"/>
      <c r="T63" s="3"/>
      <c r="U63" s="3"/>
      <c r="V63" s="3"/>
      <c r="W63" s="3"/>
      <c r="X63" s="3"/>
      <c r="Y63" s="3"/>
      <c r="Z63" s="3"/>
    </row>
    <row r="64" spans="1:26" x14ac:dyDescent="0.25">
      <c r="A64" s="3"/>
      <c r="B64" s="3"/>
      <c r="C64" s="3"/>
      <c r="D64" s="3"/>
      <c r="E64" s="3"/>
      <c r="F64" s="3"/>
      <c r="G64" s="3"/>
      <c r="H64" s="3"/>
      <c r="I64" s="3"/>
      <c r="J64" s="3"/>
      <c r="K64" s="3"/>
      <c r="L64" s="3"/>
      <c r="M64" s="3"/>
      <c r="N64" s="3"/>
      <c r="O64" s="3"/>
      <c r="P64" s="3"/>
      <c r="Q64" s="3"/>
      <c r="R64" s="3"/>
      <c r="S64" s="3"/>
      <c r="T64" s="3"/>
      <c r="U64" s="3"/>
      <c r="V64" s="3"/>
      <c r="W64" s="3"/>
      <c r="X64" s="3"/>
      <c r="Y64" s="3"/>
      <c r="Z64" s="3"/>
    </row>
    <row r="65" spans="1:26" x14ac:dyDescent="0.25">
      <c r="A65" s="3"/>
      <c r="B65" s="3"/>
      <c r="C65" s="3"/>
      <c r="D65" s="3"/>
      <c r="E65" s="3"/>
      <c r="F65" s="3"/>
      <c r="G65" s="3"/>
      <c r="H65" s="3"/>
      <c r="I65" s="3"/>
      <c r="J65" s="3"/>
      <c r="K65" s="3"/>
      <c r="L65" s="3"/>
      <c r="M65" s="3"/>
      <c r="N65" s="3"/>
      <c r="O65" s="3"/>
      <c r="P65" s="3"/>
      <c r="Q65" s="3"/>
      <c r="R65" s="3"/>
      <c r="S65" s="3"/>
      <c r="T65" s="3"/>
      <c r="U65" s="3"/>
      <c r="V65" s="3"/>
      <c r="W65" s="3"/>
      <c r="X65" s="3"/>
      <c r="Y65" s="3"/>
      <c r="Z65" s="3"/>
    </row>
    <row r="66" spans="1:26" x14ac:dyDescent="0.25">
      <c r="A66" s="3"/>
      <c r="B66" s="3"/>
      <c r="C66" s="3"/>
      <c r="D66" s="3"/>
      <c r="E66" s="3"/>
      <c r="F66" s="3"/>
      <c r="G66" s="3"/>
      <c r="H66" s="3"/>
      <c r="I66" s="3"/>
      <c r="J66" s="3"/>
      <c r="K66" s="3"/>
      <c r="L66" s="3"/>
      <c r="M66" s="3"/>
      <c r="N66" s="3"/>
      <c r="O66" s="3"/>
      <c r="P66" s="3"/>
      <c r="Q66" s="3"/>
      <c r="R66" s="3"/>
      <c r="S66" s="3"/>
      <c r="T66" s="3"/>
      <c r="U66" s="3"/>
      <c r="V66" s="3"/>
      <c r="W66" s="3"/>
      <c r="X66" s="3"/>
      <c r="Y66" s="3"/>
      <c r="Z66" s="3"/>
    </row>
    <row r="67" spans="1:26" x14ac:dyDescent="0.25">
      <c r="A67" s="3"/>
      <c r="B67" s="3"/>
      <c r="C67" s="3"/>
      <c r="D67" s="3"/>
      <c r="E67" s="3"/>
      <c r="F67" s="3"/>
      <c r="G67" s="3"/>
      <c r="H67" s="3"/>
      <c r="I67" s="3"/>
      <c r="J67" s="3"/>
      <c r="K67" s="3"/>
      <c r="L67" s="3"/>
      <c r="M67" s="3"/>
      <c r="N67" s="3"/>
      <c r="O67" s="3"/>
      <c r="P67" s="3"/>
      <c r="Q67" s="3"/>
      <c r="R67" s="3"/>
      <c r="S67" s="3"/>
      <c r="T67" s="3"/>
      <c r="U67" s="3"/>
      <c r="V67" s="3"/>
      <c r="W67" s="3"/>
      <c r="X67" s="3"/>
      <c r="Y67" s="3"/>
      <c r="Z67" s="3"/>
    </row>
    <row r="68" spans="1:26" x14ac:dyDescent="0.25">
      <c r="A68" s="3"/>
      <c r="B68" s="3"/>
      <c r="C68" s="3"/>
      <c r="D68" s="3"/>
      <c r="E68" s="3"/>
      <c r="F68" s="3"/>
      <c r="G68" s="3"/>
      <c r="H68" s="3"/>
      <c r="I68" s="3"/>
      <c r="J68" s="3"/>
      <c r="K68" s="3"/>
      <c r="L68" s="3"/>
      <c r="M68" s="3"/>
      <c r="N68" s="3"/>
      <c r="O68" s="3"/>
      <c r="P68" s="3"/>
      <c r="Q68" s="3"/>
      <c r="R68" s="3"/>
      <c r="S68" s="3"/>
      <c r="T68" s="3"/>
      <c r="U68" s="3"/>
      <c r="V68" s="3"/>
      <c r="W68" s="3"/>
      <c r="X68" s="3"/>
      <c r="Y68" s="3"/>
      <c r="Z68" s="3"/>
    </row>
    <row r="69" spans="1:26" x14ac:dyDescent="0.25">
      <c r="A69" s="3"/>
      <c r="B69" s="3"/>
      <c r="C69" s="3"/>
      <c r="D69" s="3"/>
      <c r="E69" s="3"/>
      <c r="F69" s="3"/>
      <c r="G69" s="3"/>
      <c r="H69" s="3"/>
      <c r="I69" s="3"/>
      <c r="J69" s="3"/>
      <c r="K69" s="3"/>
      <c r="L69" s="3"/>
      <c r="M69" s="3"/>
      <c r="N69" s="3"/>
      <c r="O69" s="3"/>
      <c r="P69" s="3"/>
      <c r="Q69" s="3"/>
      <c r="R69" s="3"/>
      <c r="S69" s="3"/>
      <c r="T69" s="3"/>
      <c r="U69" s="3"/>
      <c r="V69" s="3"/>
      <c r="W69" s="3"/>
      <c r="X69" s="3"/>
      <c r="Y69" s="3"/>
      <c r="Z69" s="3"/>
    </row>
    <row r="70" spans="1:26" x14ac:dyDescent="0.25">
      <c r="A70" s="3"/>
      <c r="B70" s="3"/>
      <c r="C70" s="3"/>
      <c r="D70" s="3"/>
      <c r="E70" s="3"/>
      <c r="F70" s="3"/>
      <c r="G70" s="3"/>
      <c r="H70" s="3"/>
      <c r="I70" s="3"/>
      <c r="J70" s="3"/>
      <c r="K70" s="3"/>
      <c r="L70" s="3"/>
      <c r="M70" s="3"/>
      <c r="N70" s="3"/>
      <c r="O70" s="3"/>
      <c r="P70" s="3"/>
      <c r="Q70" s="3"/>
      <c r="R70" s="3"/>
      <c r="S70" s="3"/>
      <c r="T70" s="3"/>
      <c r="U70" s="3"/>
      <c r="V70" s="3"/>
      <c r="W70" s="3"/>
      <c r="X70" s="3"/>
      <c r="Y70" s="3"/>
      <c r="Z70" s="3"/>
    </row>
    <row r="71" spans="1:26" x14ac:dyDescent="0.25">
      <c r="A71" s="3"/>
      <c r="B71" s="3"/>
      <c r="C71" s="3"/>
      <c r="D71" s="3"/>
      <c r="E71" s="3"/>
      <c r="F71" s="3"/>
      <c r="G71" s="3"/>
      <c r="H71" s="3"/>
      <c r="I71" s="3"/>
      <c r="J71" s="3"/>
      <c r="K71" s="3"/>
      <c r="L71" s="3"/>
      <c r="M71" s="3"/>
      <c r="N71" s="3"/>
      <c r="O71" s="3"/>
      <c r="P71" s="3"/>
      <c r="Q71" s="3"/>
      <c r="R71" s="3"/>
      <c r="S71" s="3"/>
      <c r="T71" s="3"/>
      <c r="U71" s="3"/>
      <c r="V71" s="3"/>
      <c r="W71" s="3"/>
      <c r="X71" s="3"/>
      <c r="Y71" s="3"/>
      <c r="Z71" s="3"/>
    </row>
    <row r="72" spans="1:26" x14ac:dyDescent="0.25">
      <c r="A72" s="3"/>
      <c r="B72" s="3"/>
      <c r="C72" s="3"/>
      <c r="D72" s="3"/>
      <c r="E72" s="3"/>
      <c r="F72" s="3"/>
      <c r="G72" s="3"/>
      <c r="H72" s="3"/>
      <c r="I72" s="3"/>
      <c r="J72" s="3"/>
      <c r="K72" s="3"/>
      <c r="L72" s="3"/>
      <c r="M72" s="3"/>
      <c r="N72" s="3"/>
      <c r="O72" s="3"/>
      <c r="P72" s="3"/>
      <c r="Q72" s="3"/>
      <c r="R72" s="3"/>
      <c r="S72" s="3"/>
      <c r="T72" s="3"/>
      <c r="U72" s="3"/>
      <c r="V72" s="3"/>
      <c r="W72" s="3"/>
      <c r="X72" s="3"/>
      <c r="Y72" s="3"/>
      <c r="Z72" s="3"/>
    </row>
    <row r="73" spans="1:26" x14ac:dyDescent="0.25">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x14ac:dyDescent="0.25">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x14ac:dyDescent="0.25">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x14ac:dyDescent="0.25">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x14ac:dyDescent="0.25">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x14ac:dyDescent="0.25">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x14ac:dyDescent="0.25">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x14ac:dyDescent="0.25">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x14ac:dyDescent="0.25">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x14ac:dyDescent="0.25">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x14ac:dyDescent="0.25">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x14ac:dyDescent="0.25">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x14ac:dyDescent="0.25">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x14ac:dyDescent="0.25">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x14ac:dyDescent="0.25">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x14ac:dyDescent="0.25">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x14ac:dyDescent="0.25">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x14ac:dyDescent="0.25">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x14ac:dyDescent="0.25">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x14ac:dyDescent="0.25">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x14ac:dyDescent="0.25">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x14ac:dyDescent="0.25">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x14ac:dyDescent="0.25">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x14ac:dyDescent="0.25">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x14ac:dyDescent="0.25">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x14ac:dyDescent="0.25">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x14ac:dyDescent="0.25">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x14ac:dyDescent="0.2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x14ac:dyDescent="0.2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x14ac:dyDescent="0.2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x14ac:dyDescent="0.2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x14ac:dyDescent="0.2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x14ac:dyDescent="0.2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x14ac:dyDescent="0.2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x14ac:dyDescent="0.2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x14ac:dyDescent="0.2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x14ac:dyDescent="0.2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x14ac:dyDescent="0.2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x14ac:dyDescent="0.2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x14ac:dyDescent="0.2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x14ac:dyDescent="0.2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x14ac:dyDescent="0.2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x14ac:dyDescent="0.2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x14ac:dyDescent="0.2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x14ac:dyDescent="0.2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x14ac:dyDescent="0.2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x14ac:dyDescent="0.2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x14ac:dyDescent="0.2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x14ac:dyDescent="0.2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x14ac:dyDescent="0.2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x14ac:dyDescent="0.2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x14ac:dyDescent="0.2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x14ac:dyDescent="0.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x14ac:dyDescent="0.2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x14ac:dyDescent="0.2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x14ac:dyDescent="0.2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x14ac:dyDescent="0.2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x14ac:dyDescent="0.2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x14ac:dyDescent="0.2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x14ac:dyDescent="0.2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x14ac:dyDescent="0.2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x14ac:dyDescent="0.2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x14ac:dyDescent="0.2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x14ac:dyDescent="0.2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x14ac:dyDescent="0.2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x14ac:dyDescent="0.2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x14ac:dyDescent="0.2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x14ac:dyDescent="0.2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x14ac:dyDescent="0.2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x14ac:dyDescent="0.2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x14ac:dyDescent="0.2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x14ac:dyDescent="0.2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x14ac:dyDescent="0.2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x14ac:dyDescent="0.2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x14ac:dyDescent="0.2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x14ac:dyDescent="0.2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x14ac:dyDescent="0.2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x14ac:dyDescent="0.2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x14ac:dyDescent="0.2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x14ac:dyDescent="0.2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x14ac:dyDescent="0.2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x14ac:dyDescent="0.2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x14ac:dyDescent="0.2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x14ac:dyDescent="0.2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x14ac:dyDescent="0.2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x14ac:dyDescent="0.2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x14ac:dyDescent="0.2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x14ac:dyDescent="0.2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x14ac:dyDescent="0.2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x14ac:dyDescent="0.2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x14ac:dyDescent="0.2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x14ac:dyDescent="0.2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x14ac:dyDescent="0.2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x14ac:dyDescent="0.2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x14ac:dyDescent="0.2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x14ac:dyDescent="0.2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x14ac:dyDescent="0.2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x14ac:dyDescent="0.2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x14ac:dyDescent="0.2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x14ac:dyDescent="0.2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x14ac:dyDescent="0.2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x14ac:dyDescent="0.2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x14ac:dyDescent="0.2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x14ac:dyDescent="0.2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x14ac:dyDescent="0.2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x14ac:dyDescent="0.2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x14ac:dyDescent="0.2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x14ac:dyDescent="0.2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x14ac:dyDescent="0.2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x14ac:dyDescent="0.2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x14ac:dyDescent="0.2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x14ac:dyDescent="0.2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x14ac:dyDescent="0.2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x14ac:dyDescent="0.2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x14ac:dyDescent="0.2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x14ac:dyDescent="0.2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x14ac:dyDescent="0.2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x14ac:dyDescent="0.2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x14ac:dyDescent="0.2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x14ac:dyDescent="0.2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x14ac:dyDescent="0.2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x14ac:dyDescent="0.2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x14ac:dyDescent="0.2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x14ac:dyDescent="0.2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x14ac:dyDescent="0.2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x14ac:dyDescent="0.2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x14ac:dyDescent="0.2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x14ac:dyDescent="0.2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x14ac:dyDescent="0.2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x14ac:dyDescent="0.2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x14ac:dyDescent="0.2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x14ac:dyDescent="0.2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x14ac:dyDescent="0.2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x14ac:dyDescent="0.2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x14ac:dyDescent="0.2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x14ac:dyDescent="0.2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x14ac:dyDescent="0.2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x14ac:dyDescent="0.2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x14ac:dyDescent="0.2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x14ac:dyDescent="0.2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x14ac:dyDescent="0.2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x14ac:dyDescent="0.2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x14ac:dyDescent="0.2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x14ac:dyDescent="0.2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x14ac:dyDescent="0.2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x14ac:dyDescent="0.2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x14ac:dyDescent="0.2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x14ac:dyDescent="0.2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x14ac:dyDescent="0.2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x14ac:dyDescent="0.2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x14ac:dyDescent="0.2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x14ac:dyDescent="0.2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x14ac:dyDescent="0.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x14ac:dyDescent="0.2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x14ac:dyDescent="0.2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x14ac:dyDescent="0.2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x14ac:dyDescent="0.2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x14ac:dyDescent="0.2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x14ac:dyDescent="0.2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x14ac:dyDescent="0.2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x14ac:dyDescent="0.2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x14ac:dyDescent="0.2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x14ac:dyDescent="0.2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x14ac:dyDescent="0.2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x14ac:dyDescent="0.2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x14ac:dyDescent="0.2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x14ac:dyDescent="0.2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x14ac:dyDescent="0.2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x14ac:dyDescent="0.2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x14ac:dyDescent="0.2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x14ac:dyDescent="0.2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x14ac:dyDescent="0.2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x14ac:dyDescent="0.2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x14ac:dyDescent="0.2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x14ac:dyDescent="0.2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x14ac:dyDescent="0.2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x14ac:dyDescent="0.2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x14ac:dyDescent="0.2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x14ac:dyDescent="0.2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x14ac:dyDescent="0.2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x14ac:dyDescent="0.2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x14ac:dyDescent="0.2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x14ac:dyDescent="0.2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x14ac:dyDescent="0.2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x14ac:dyDescent="0.2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x14ac:dyDescent="0.2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x14ac:dyDescent="0.2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x14ac:dyDescent="0.2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x14ac:dyDescent="0.2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x14ac:dyDescent="0.2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x14ac:dyDescent="0.2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x14ac:dyDescent="0.2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x14ac:dyDescent="0.2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x14ac:dyDescent="0.2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x14ac:dyDescent="0.2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x14ac:dyDescent="0.2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x14ac:dyDescent="0.2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x14ac:dyDescent="0.2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x14ac:dyDescent="0.2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x14ac:dyDescent="0.2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x14ac:dyDescent="0.2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x14ac:dyDescent="0.2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x14ac:dyDescent="0.2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x14ac:dyDescent="0.2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x14ac:dyDescent="0.2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x14ac:dyDescent="0.2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x14ac:dyDescent="0.2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x14ac:dyDescent="0.2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x14ac:dyDescent="0.2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x14ac:dyDescent="0.2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x14ac:dyDescent="0.2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x14ac:dyDescent="0.2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x14ac:dyDescent="0.2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x14ac:dyDescent="0.2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x14ac:dyDescent="0.2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x14ac:dyDescent="0.2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x14ac:dyDescent="0.2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x14ac:dyDescent="0.2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x14ac:dyDescent="0.2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x14ac:dyDescent="0.2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x14ac:dyDescent="0.2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x14ac:dyDescent="0.2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x14ac:dyDescent="0.2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x14ac:dyDescent="0.2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x14ac:dyDescent="0.2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x14ac:dyDescent="0.2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x14ac:dyDescent="0.2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x14ac:dyDescent="0.2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x14ac:dyDescent="0.2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x14ac:dyDescent="0.2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x14ac:dyDescent="0.2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x14ac:dyDescent="0.2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x14ac:dyDescent="0.2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x14ac:dyDescent="0.2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x14ac:dyDescent="0.2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x14ac:dyDescent="0.2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x14ac:dyDescent="0.2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x14ac:dyDescent="0.2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x14ac:dyDescent="0.2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x14ac:dyDescent="0.2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x14ac:dyDescent="0.2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x14ac:dyDescent="0.2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x14ac:dyDescent="0.2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x14ac:dyDescent="0.2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x14ac:dyDescent="0.2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x14ac:dyDescent="0.2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x14ac:dyDescent="0.2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x14ac:dyDescent="0.2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x14ac:dyDescent="0.2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x14ac:dyDescent="0.2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x14ac:dyDescent="0.2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x14ac:dyDescent="0.2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x14ac:dyDescent="0.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x14ac:dyDescent="0.2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x14ac:dyDescent="0.2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x14ac:dyDescent="0.2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x14ac:dyDescent="0.2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x14ac:dyDescent="0.2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x14ac:dyDescent="0.2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x14ac:dyDescent="0.2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x14ac:dyDescent="0.2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x14ac:dyDescent="0.2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x14ac:dyDescent="0.2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x14ac:dyDescent="0.2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x14ac:dyDescent="0.2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x14ac:dyDescent="0.2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x14ac:dyDescent="0.2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x14ac:dyDescent="0.2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x14ac:dyDescent="0.2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x14ac:dyDescent="0.2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x14ac:dyDescent="0.2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x14ac:dyDescent="0.2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x14ac:dyDescent="0.2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x14ac:dyDescent="0.2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x14ac:dyDescent="0.2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x14ac:dyDescent="0.2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x14ac:dyDescent="0.2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x14ac:dyDescent="0.2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x14ac:dyDescent="0.2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x14ac:dyDescent="0.2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x14ac:dyDescent="0.2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x14ac:dyDescent="0.2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x14ac:dyDescent="0.2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x14ac:dyDescent="0.2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x14ac:dyDescent="0.2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x14ac:dyDescent="0.2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x14ac:dyDescent="0.2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x14ac:dyDescent="0.2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x14ac:dyDescent="0.2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x14ac:dyDescent="0.2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x14ac:dyDescent="0.2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x14ac:dyDescent="0.2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x14ac:dyDescent="0.2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x14ac:dyDescent="0.2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x14ac:dyDescent="0.2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x14ac:dyDescent="0.2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x14ac:dyDescent="0.2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x14ac:dyDescent="0.2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x14ac:dyDescent="0.2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x14ac:dyDescent="0.2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x14ac:dyDescent="0.2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x14ac:dyDescent="0.2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x14ac:dyDescent="0.2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x14ac:dyDescent="0.2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x14ac:dyDescent="0.2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x14ac:dyDescent="0.2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x14ac:dyDescent="0.2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x14ac:dyDescent="0.2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x14ac:dyDescent="0.2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x14ac:dyDescent="0.2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x14ac:dyDescent="0.2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x14ac:dyDescent="0.2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x14ac:dyDescent="0.2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x14ac:dyDescent="0.2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x14ac:dyDescent="0.2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x14ac:dyDescent="0.2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x14ac:dyDescent="0.2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x14ac:dyDescent="0.2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x14ac:dyDescent="0.2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x14ac:dyDescent="0.2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x14ac:dyDescent="0.2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x14ac:dyDescent="0.2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x14ac:dyDescent="0.2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x14ac:dyDescent="0.2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x14ac:dyDescent="0.2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x14ac:dyDescent="0.2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x14ac:dyDescent="0.2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x14ac:dyDescent="0.2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x14ac:dyDescent="0.2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x14ac:dyDescent="0.2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x14ac:dyDescent="0.2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x14ac:dyDescent="0.2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x14ac:dyDescent="0.2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x14ac:dyDescent="0.2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x14ac:dyDescent="0.2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x14ac:dyDescent="0.2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x14ac:dyDescent="0.2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x14ac:dyDescent="0.2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x14ac:dyDescent="0.2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x14ac:dyDescent="0.2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x14ac:dyDescent="0.2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x14ac:dyDescent="0.2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x14ac:dyDescent="0.2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x14ac:dyDescent="0.2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x14ac:dyDescent="0.2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x14ac:dyDescent="0.2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x14ac:dyDescent="0.2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x14ac:dyDescent="0.2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x14ac:dyDescent="0.2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x14ac:dyDescent="0.2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x14ac:dyDescent="0.2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x14ac:dyDescent="0.2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x14ac:dyDescent="0.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x14ac:dyDescent="0.2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x14ac:dyDescent="0.2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x14ac:dyDescent="0.2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x14ac:dyDescent="0.2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x14ac:dyDescent="0.2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x14ac:dyDescent="0.2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x14ac:dyDescent="0.2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x14ac:dyDescent="0.2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x14ac:dyDescent="0.2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x14ac:dyDescent="0.2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x14ac:dyDescent="0.2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x14ac:dyDescent="0.2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x14ac:dyDescent="0.2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x14ac:dyDescent="0.2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x14ac:dyDescent="0.2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x14ac:dyDescent="0.2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x14ac:dyDescent="0.2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x14ac:dyDescent="0.2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x14ac:dyDescent="0.2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x14ac:dyDescent="0.2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x14ac:dyDescent="0.2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x14ac:dyDescent="0.2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x14ac:dyDescent="0.2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x14ac:dyDescent="0.2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x14ac:dyDescent="0.2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x14ac:dyDescent="0.2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x14ac:dyDescent="0.2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x14ac:dyDescent="0.2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x14ac:dyDescent="0.2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x14ac:dyDescent="0.2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x14ac:dyDescent="0.2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x14ac:dyDescent="0.2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x14ac:dyDescent="0.2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x14ac:dyDescent="0.2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x14ac:dyDescent="0.2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x14ac:dyDescent="0.2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x14ac:dyDescent="0.2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x14ac:dyDescent="0.2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x14ac:dyDescent="0.2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x14ac:dyDescent="0.2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x14ac:dyDescent="0.2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x14ac:dyDescent="0.2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x14ac:dyDescent="0.2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x14ac:dyDescent="0.2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x14ac:dyDescent="0.2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x14ac:dyDescent="0.2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x14ac:dyDescent="0.2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x14ac:dyDescent="0.2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x14ac:dyDescent="0.2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x14ac:dyDescent="0.2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x14ac:dyDescent="0.2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x14ac:dyDescent="0.2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x14ac:dyDescent="0.2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x14ac:dyDescent="0.2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x14ac:dyDescent="0.2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x14ac:dyDescent="0.2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x14ac:dyDescent="0.2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x14ac:dyDescent="0.2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x14ac:dyDescent="0.2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x14ac:dyDescent="0.2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x14ac:dyDescent="0.2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x14ac:dyDescent="0.2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x14ac:dyDescent="0.2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x14ac:dyDescent="0.2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x14ac:dyDescent="0.2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x14ac:dyDescent="0.2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x14ac:dyDescent="0.2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x14ac:dyDescent="0.2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x14ac:dyDescent="0.2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x14ac:dyDescent="0.2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x14ac:dyDescent="0.2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x14ac:dyDescent="0.2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x14ac:dyDescent="0.2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x14ac:dyDescent="0.2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x14ac:dyDescent="0.2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x14ac:dyDescent="0.2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x14ac:dyDescent="0.2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x14ac:dyDescent="0.2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x14ac:dyDescent="0.2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x14ac:dyDescent="0.2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x14ac:dyDescent="0.2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x14ac:dyDescent="0.2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x14ac:dyDescent="0.2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x14ac:dyDescent="0.2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x14ac:dyDescent="0.2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x14ac:dyDescent="0.2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x14ac:dyDescent="0.2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x14ac:dyDescent="0.2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x14ac:dyDescent="0.2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x14ac:dyDescent="0.2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x14ac:dyDescent="0.2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x14ac:dyDescent="0.2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x14ac:dyDescent="0.2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x14ac:dyDescent="0.2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x14ac:dyDescent="0.2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x14ac:dyDescent="0.2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x14ac:dyDescent="0.2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x14ac:dyDescent="0.2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x14ac:dyDescent="0.2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x14ac:dyDescent="0.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x14ac:dyDescent="0.2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x14ac:dyDescent="0.2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x14ac:dyDescent="0.2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x14ac:dyDescent="0.2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x14ac:dyDescent="0.2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x14ac:dyDescent="0.2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x14ac:dyDescent="0.2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x14ac:dyDescent="0.2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x14ac:dyDescent="0.2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x14ac:dyDescent="0.2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x14ac:dyDescent="0.2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x14ac:dyDescent="0.2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x14ac:dyDescent="0.2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x14ac:dyDescent="0.2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x14ac:dyDescent="0.2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x14ac:dyDescent="0.2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x14ac:dyDescent="0.2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x14ac:dyDescent="0.2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x14ac:dyDescent="0.2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x14ac:dyDescent="0.2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x14ac:dyDescent="0.2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x14ac:dyDescent="0.2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x14ac:dyDescent="0.2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x14ac:dyDescent="0.2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x14ac:dyDescent="0.2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x14ac:dyDescent="0.2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x14ac:dyDescent="0.2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x14ac:dyDescent="0.2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x14ac:dyDescent="0.2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x14ac:dyDescent="0.2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x14ac:dyDescent="0.2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x14ac:dyDescent="0.2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x14ac:dyDescent="0.2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x14ac:dyDescent="0.2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x14ac:dyDescent="0.2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x14ac:dyDescent="0.2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x14ac:dyDescent="0.2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x14ac:dyDescent="0.2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x14ac:dyDescent="0.2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x14ac:dyDescent="0.2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x14ac:dyDescent="0.2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x14ac:dyDescent="0.2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x14ac:dyDescent="0.2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x14ac:dyDescent="0.2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x14ac:dyDescent="0.2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x14ac:dyDescent="0.2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x14ac:dyDescent="0.2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x14ac:dyDescent="0.2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x14ac:dyDescent="0.2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x14ac:dyDescent="0.2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x14ac:dyDescent="0.2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x14ac:dyDescent="0.2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x14ac:dyDescent="0.2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x14ac:dyDescent="0.2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x14ac:dyDescent="0.2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x14ac:dyDescent="0.2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x14ac:dyDescent="0.2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x14ac:dyDescent="0.2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x14ac:dyDescent="0.2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x14ac:dyDescent="0.2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x14ac:dyDescent="0.2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x14ac:dyDescent="0.2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x14ac:dyDescent="0.2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x14ac:dyDescent="0.2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x14ac:dyDescent="0.2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x14ac:dyDescent="0.2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x14ac:dyDescent="0.2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x14ac:dyDescent="0.2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x14ac:dyDescent="0.2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x14ac:dyDescent="0.2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x14ac:dyDescent="0.2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x14ac:dyDescent="0.2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x14ac:dyDescent="0.2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x14ac:dyDescent="0.2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x14ac:dyDescent="0.2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x14ac:dyDescent="0.2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x14ac:dyDescent="0.2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x14ac:dyDescent="0.2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x14ac:dyDescent="0.2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x14ac:dyDescent="0.2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x14ac:dyDescent="0.2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x14ac:dyDescent="0.2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x14ac:dyDescent="0.2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x14ac:dyDescent="0.2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x14ac:dyDescent="0.2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x14ac:dyDescent="0.2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x14ac:dyDescent="0.2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x14ac:dyDescent="0.2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x14ac:dyDescent="0.2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x14ac:dyDescent="0.2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x14ac:dyDescent="0.2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x14ac:dyDescent="0.2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x14ac:dyDescent="0.2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x14ac:dyDescent="0.2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x14ac:dyDescent="0.2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x14ac:dyDescent="0.2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x14ac:dyDescent="0.2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x14ac:dyDescent="0.2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x14ac:dyDescent="0.2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x14ac:dyDescent="0.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x14ac:dyDescent="0.2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x14ac:dyDescent="0.2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x14ac:dyDescent="0.2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x14ac:dyDescent="0.2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x14ac:dyDescent="0.2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x14ac:dyDescent="0.2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x14ac:dyDescent="0.2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x14ac:dyDescent="0.2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x14ac:dyDescent="0.2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x14ac:dyDescent="0.2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x14ac:dyDescent="0.2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x14ac:dyDescent="0.2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x14ac:dyDescent="0.2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x14ac:dyDescent="0.2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x14ac:dyDescent="0.2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x14ac:dyDescent="0.2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x14ac:dyDescent="0.2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x14ac:dyDescent="0.2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x14ac:dyDescent="0.2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x14ac:dyDescent="0.2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x14ac:dyDescent="0.2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x14ac:dyDescent="0.2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x14ac:dyDescent="0.2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x14ac:dyDescent="0.2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x14ac:dyDescent="0.2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x14ac:dyDescent="0.2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x14ac:dyDescent="0.2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x14ac:dyDescent="0.2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x14ac:dyDescent="0.2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x14ac:dyDescent="0.2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x14ac:dyDescent="0.2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x14ac:dyDescent="0.2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x14ac:dyDescent="0.2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x14ac:dyDescent="0.2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x14ac:dyDescent="0.2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x14ac:dyDescent="0.2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x14ac:dyDescent="0.2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x14ac:dyDescent="0.2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x14ac:dyDescent="0.2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x14ac:dyDescent="0.2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x14ac:dyDescent="0.2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x14ac:dyDescent="0.2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x14ac:dyDescent="0.2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x14ac:dyDescent="0.2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x14ac:dyDescent="0.2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x14ac:dyDescent="0.2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x14ac:dyDescent="0.2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x14ac:dyDescent="0.2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x14ac:dyDescent="0.2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x14ac:dyDescent="0.2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x14ac:dyDescent="0.2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x14ac:dyDescent="0.2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x14ac:dyDescent="0.2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x14ac:dyDescent="0.2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x14ac:dyDescent="0.2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x14ac:dyDescent="0.2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x14ac:dyDescent="0.2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x14ac:dyDescent="0.2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x14ac:dyDescent="0.2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x14ac:dyDescent="0.2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x14ac:dyDescent="0.2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x14ac:dyDescent="0.2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x14ac:dyDescent="0.2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x14ac:dyDescent="0.2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x14ac:dyDescent="0.2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x14ac:dyDescent="0.2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x14ac:dyDescent="0.2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x14ac:dyDescent="0.2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x14ac:dyDescent="0.2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x14ac:dyDescent="0.2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x14ac:dyDescent="0.2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x14ac:dyDescent="0.2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x14ac:dyDescent="0.2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x14ac:dyDescent="0.2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x14ac:dyDescent="0.2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x14ac:dyDescent="0.2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x14ac:dyDescent="0.2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x14ac:dyDescent="0.2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x14ac:dyDescent="0.2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x14ac:dyDescent="0.2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x14ac:dyDescent="0.2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x14ac:dyDescent="0.2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x14ac:dyDescent="0.2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x14ac:dyDescent="0.2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x14ac:dyDescent="0.2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x14ac:dyDescent="0.2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x14ac:dyDescent="0.2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x14ac:dyDescent="0.2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x14ac:dyDescent="0.2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x14ac:dyDescent="0.2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x14ac:dyDescent="0.2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x14ac:dyDescent="0.2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x14ac:dyDescent="0.2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x14ac:dyDescent="0.2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x14ac:dyDescent="0.2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x14ac:dyDescent="0.2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x14ac:dyDescent="0.2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x14ac:dyDescent="0.2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x14ac:dyDescent="0.2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x14ac:dyDescent="0.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x14ac:dyDescent="0.2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x14ac:dyDescent="0.2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x14ac:dyDescent="0.2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x14ac:dyDescent="0.2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x14ac:dyDescent="0.2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x14ac:dyDescent="0.2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x14ac:dyDescent="0.2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x14ac:dyDescent="0.2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x14ac:dyDescent="0.2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x14ac:dyDescent="0.2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x14ac:dyDescent="0.2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x14ac:dyDescent="0.2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x14ac:dyDescent="0.2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x14ac:dyDescent="0.2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x14ac:dyDescent="0.2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x14ac:dyDescent="0.2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x14ac:dyDescent="0.2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x14ac:dyDescent="0.2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x14ac:dyDescent="0.2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x14ac:dyDescent="0.2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x14ac:dyDescent="0.2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x14ac:dyDescent="0.2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x14ac:dyDescent="0.2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x14ac:dyDescent="0.2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x14ac:dyDescent="0.2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x14ac:dyDescent="0.2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x14ac:dyDescent="0.2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x14ac:dyDescent="0.2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x14ac:dyDescent="0.2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x14ac:dyDescent="0.2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x14ac:dyDescent="0.2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x14ac:dyDescent="0.2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x14ac:dyDescent="0.2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x14ac:dyDescent="0.2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x14ac:dyDescent="0.2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x14ac:dyDescent="0.2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x14ac:dyDescent="0.2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x14ac:dyDescent="0.2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x14ac:dyDescent="0.2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x14ac:dyDescent="0.2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x14ac:dyDescent="0.2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x14ac:dyDescent="0.2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x14ac:dyDescent="0.2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x14ac:dyDescent="0.2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x14ac:dyDescent="0.2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x14ac:dyDescent="0.2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x14ac:dyDescent="0.2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x14ac:dyDescent="0.2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x14ac:dyDescent="0.2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x14ac:dyDescent="0.2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x14ac:dyDescent="0.2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x14ac:dyDescent="0.2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x14ac:dyDescent="0.2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x14ac:dyDescent="0.2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x14ac:dyDescent="0.2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x14ac:dyDescent="0.2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x14ac:dyDescent="0.2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x14ac:dyDescent="0.2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x14ac:dyDescent="0.2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x14ac:dyDescent="0.2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x14ac:dyDescent="0.2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x14ac:dyDescent="0.2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x14ac:dyDescent="0.2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x14ac:dyDescent="0.2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x14ac:dyDescent="0.2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x14ac:dyDescent="0.2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x14ac:dyDescent="0.2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x14ac:dyDescent="0.2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x14ac:dyDescent="0.2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x14ac:dyDescent="0.2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x14ac:dyDescent="0.2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x14ac:dyDescent="0.2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x14ac:dyDescent="0.2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x14ac:dyDescent="0.2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x14ac:dyDescent="0.2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x14ac:dyDescent="0.2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x14ac:dyDescent="0.2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x14ac:dyDescent="0.2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x14ac:dyDescent="0.2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x14ac:dyDescent="0.2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x14ac:dyDescent="0.2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x14ac:dyDescent="0.2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x14ac:dyDescent="0.2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x14ac:dyDescent="0.2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x14ac:dyDescent="0.2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x14ac:dyDescent="0.2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x14ac:dyDescent="0.2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x14ac:dyDescent="0.2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x14ac:dyDescent="0.2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x14ac:dyDescent="0.2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x14ac:dyDescent="0.2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x14ac:dyDescent="0.2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x14ac:dyDescent="0.2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x14ac:dyDescent="0.2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x14ac:dyDescent="0.2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x14ac:dyDescent="0.2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x14ac:dyDescent="0.2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x14ac:dyDescent="0.2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x14ac:dyDescent="0.2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x14ac:dyDescent="0.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x14ac:dyDescent="0.2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x14ac:dyDescent="0.2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x14ac:dyDescent="0.2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x14ac:dyDescent="0.2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x14ac:dyDescent="0.2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x14ac:dyDescent="0.2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x14ac:dyDescent="0.2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x14ac:dyDescent="0.2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x14ac:dyDescent="0.2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x14ac:dyDescent="0.2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x14ac:dyDescent="0.2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x14ac:dyDescent="0.2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x14ac:dyDescent="0.2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x14ac:dyDescent="0.2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x14ac:dyDescent="0.2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x14ac:dyDescent="0.2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x14ac:dyDescent="0.2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x14ac:dyDescent="0.2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x14ac:dyDescent="0.2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x14ac:dyDescent="0.2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x14ac:dyDescent="0.2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x14ac:dyDescent="0.2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x14ac:dyDescent="0.2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x14ac:dyDescent="0.2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x14ac:dyDescent="0.2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x14ac:dyDescent="0.2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x14ac:dyDescent="0.2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x14ac:dyDescent="0.2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x14ac:dyDescent="0.2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x14ac:dyDescent="0.2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x14ac:dyDescent="0.2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x14ac:dyDescent="0.2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x14ac:dyDescent="0.2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x14ac:dyDescent="0.2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x14ac:dyDescent="0.2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x14ac:dyDescent="0.2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x14ac:dyDescent="0.2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x14ac:dyDescent="0.2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x14ac:dyDescent="0.2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x14ac:dyDescent="0.2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x14ac:dyDescent="0.2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x14ac:dyDescent="0.2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x14ac:dyDescent="0.2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x14ac:dyDescent="0.2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x14ac:dyDescent="0.2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x14ac:dyDescent="0.2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x14ac:dyDescent="0.2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x14ac:dyDescent="0.2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x14ac:dyDescent="0.2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x14ac:dyDescent="0.2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x14ac:dyDescent="0.2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x14ac:dyDescent="0.2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x14ac:dyDescent="0.2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x14ac:dyDescent="0.2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x14ac:dyDescent="0.2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x14ac:dyDescent="0.2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x14ac:dyDescent="0.2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x14ac:dyDescent="0.2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x14ac:dyDescent="0.2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x14ac:dyDescent="0.2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x14ac:dyDescent="0.2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x14ac:dyDescent="0.2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x14ac:dyDescent="0.2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x14ac:dyDescent="0.2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x14ac:dyDescent="0.2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x14ac:dyDescent="0.2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x14ac:dyDescent="0.2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x14ac:dyDescent="0.2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x14ac:dyDescent="0.2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x14ac:dyDescent="0.2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x14ac:dyDescent="0.2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x14ac:dyDescent="0.2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x14ac:dyDescent="0.2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x14ac:dyDescent="0.2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x14ac:dyDescent="0.2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x14ac:dyDescent="0.2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x14ac:dyDescent="0.2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x14ac:dyDescent="0.2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x14ac:dyDescent="0.2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x14ac:dyDescent="0.2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x14ac:dyDescent="0.2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x14ac:dyDescent="0.2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x14ac:dyDescent="0.2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x14ac:dyDescent="0.2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x14ac:dyDescent="0.2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x14ac:dyDescent="0.2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x14ac:dyDescent="0.2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x14ac:dyDescent="0.2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x14ac:dyDescent="0.2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x14ac:dyDescent="0.2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x14ac:dyDescent="0.2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x14ac:dyDescent="0.2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x14ac:dyDescent="0.2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x14ac:dyDescent="0.2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x14ac:dyDescent="0.2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x14ac:dyDescent="0.2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x14ac:dyDescent="0.2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x14ac:dyDescent="0.2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x14ac:dyDescent="0.2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x14ac:dyDescent="0.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x14ac:dyDescent="0.2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x14ac:dyDescent="0.2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x14ac:dyDescent="0.2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x14ac:dyDescent="0.2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x14ac:dyDescent="0.2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x14ac:dyDescent="0.2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x14ac:dyDescent="0.2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x14ac:dyDescent="0.2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x14ac:dyDescent="0.2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x14ac:dyDescent="0.2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x14ac:dyDescent="0.2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x14ac:dyDescent="0.2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x14ac:dyDescent="0.2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x14ac:dyDescent="0.2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x14ac:dyDescent="0.2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x14ac:dyDescent="0.2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x14ac:dyDescent="0.2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x14ac:dyDescent="0.2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x14ac:dyDescent="0.2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x14ac:dyDescent="0.2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x14ac:dyDescent="0.2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x14ac:dyDescent="0.2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x14ac:dyDescent="0.2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x14ac:dyDescent="0.2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x14ac:dyDescent="0.2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x14ac:dyDescent="0.2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x14ac:dyDescent="0.2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x14ac:dyDescent="0.2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x14ac:dyDescent="0.2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x14ac:dyDescent="0.2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x14ac:dyDescent="0.2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x14ac:dyDescent="0.2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x14ac:dyDescent="0.2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x14ac:dyDescent="0.2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x14ac:dyDescent="0.2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x14ac:dyDescent="0.2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x14ac:dyDescent="0.2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x14ac:dyDescent="0.2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x14ac:dyDescent="0.2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x14ac:dyDescent="0.2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x14ac:dyDescent="0.2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x14ac:dyDescent="0.2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x14ac:dyDescent="0.2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x14ac:dyDescent="0.2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x14ac:dyDescent="0.2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x14ac:dyDescent="0.2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x14ac:dyDescent="0.2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x14ac:dyDescent="0.2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x14ac:dyDescent="0.2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x14ac:dyDescent="0.2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x14ac:dyDescent="0.2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x14ac:dyDescent="0.2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x14ac:dyDescent="0.2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x14ac:dyDescent="0.2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x14ac:dyDescent="0.2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x14ac:dyDescent="0.2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x14ac:dyDescent="0.2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x14ac:dyDescent="0.2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x14ac:dyDescent="0.2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x14ac:dyDescent="0.2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x14ac:dyDescent="0.2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x14ac:dyDescent="0.2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x14ac:dyDescent="0.2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x14ac:dyDescent="0.2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x14ac:dyDescent="0.2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x14ac:dyDescent="0.2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x14ac:dyDescent="0.2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x14ac:dyDescent="0.2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x14ac:dyDescent="0.2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x14ac:dyDescent="0.2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x14ac:dyDescent="0.2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x14ac:dyDescent="0.2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x14ac:dyDescent="0.2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x14ac:dyDescent="0.2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x14ac:dyDescent="0.2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998"/>
  <sheetViews>
    <sheetView workbookViewId="0">
      <selection activeCell="B6" sqref="B6"/>
    </sheetView>
  </sheetViews>
  <sheetFormatPr baseColWidth="10" defaultColWidth="12.5703125" defaultRowHeight="15.75" customHeight="1" x14ac:dyDescent="0.2"/>
  <cols>
    <col min="1" max="1" width="34.140625" customWidth="1"/>
    <col min="2" max="2" width="24.85546875" customWidth="1"/>
  </cols>
  <sheetData>
    <row r="1" spans="1:26" ht="15.75" customHeight="1" x14ac:dyDescent="0.25">
      <c r="A1" s="5" t="s">
        <v>12</v>
      </c>
      <c r="B1" s="5" t="s">
        <v>13</v>
      </c>
      <c r="C1" s="3"/>
      <c r="D1" s="3"/>
      <c r="E1" s="3"/>
      <c r="F1" s="3"/>
      <c r="G1" s="3"/>
      <c r="H1" s="3"/>
      <c r="I1" s="3"/>
      <c r="J1" s="3"/>
      <c r="K1" s="3"/>
      <c r="L1" s="3"/>
      <c r="M1" s="3"/>
      <c r="N1" s="3"/>
      <c r="O1" s="3"/>
      <c r="P1" s="3"/>
      <c r="Q1" s="3"/>
      <c r="R1" s="3"/>
      <c r="S1" s="3"/>
      <c r="T1" s="3"/>
      <c r="U1" s="3"/>
      <c r="V1" s="3"/>
      <c r="W1" s="3"/>
      <c r="X1" s="3"/>
      <c r="Y1" s="3"/>
      <c r="Z1" s="3"/>
    </row>
    <row r="2" spans="1:26" ht="15.75" customHeight="1" x14ac:dyDescent="0.25">
      <c r="A2" s="6" t="s">
        <v>14</v>
      </c>
      <c r="B2" s="23">
        <f>'Pagos Profesionales.'!H7</f>
        <v>32500000</v>
      </c>
      <c r="C2" s="3"/>
      <c r="D2" s="3"/>
      <c r="E2" s="3"/>
      <c r="F2" s="3"/>
      <c r="G2" s="3"/>
      <c r="H2" s="3"/>
      <c r="I2" s="3"/>
      <c r="J2" s="3"/>
      <c r="K2" s="3"/>
      <c r="L2" s="3"/>
      <c r="M2" s="3"/>
      <c r="N2" s="3"/>
      <c r="O2" s="3"/>
      <c r="P2" s="3"/>
      <c r="Q2" s="3"/>
      <c r="R2" s="3"/>
      <c r="S2" s="3"/>
      <c r="T2" s="3"/>
      <c r="U2" s="3"/>
      <c r="V2" s="3"/>
      <c r="W2" s="3"/>
      <c r="X2" s="3"/>
      <c r="Y2" s="3"/>
      <c r="Z2" s="3"/>
    </row>
    <row r="3" spans="1:26" ht="15.75" customHeight="1" x14ac:dyDescent="0.25">
      <c r="A3" s="4" t="s">
        <v>15</v>
      </c>
      <c r="B3" s="29">
        <f>'Hadware y Software.'!E8</f>
        <v>5617000</v>
      </c>
      <c r="C3" s="3"/>
      <c r="D3" s="3"/>
      <c r="E3" s="3"/>
      <c r="F3" s="3"/>
      <c r="G3" s="3"/>
      <c r="H3" s="3"/>
      <c r="I3" s="3"/>
      <c r="J3" s="3"/>
      <c r="K3" s="3"/>
      <c r="L3" s="3"/>
      <c r="M3" s="3"/>
      <c r="N3" s="3"/>
      <c r="O3" s="3"/>
      <c r="P3" s="3"/>
      <c r="Q3" s="3"/>
      <c r="R3" s="3"/>
      <c r="S3" s="3"/>
      <c r="T3" s="3"/>
      <c r="U3" s="3"/>
      <c r="V3" s="3"/>
      <c r="W3" s="3"/>
      <c r="X3" s="3"/>
      <c r="Y3" s="3"/>
      <c r="Z3" s="3"/>
    </row>
    <row r="4" spans="1:26" ht="15.75" customHeight="1" x14ac:dyDescent="0.25">
      <c r="A4" s="4" t="s">
        <v>16</v>
      </c>
      <c r="B4" s="29">
        <f>'Gastos Administrativos.'!E6</f>
        <v>6200000</v>
      </c>
      <c r="C4" s="3"/>
      <c r="D4" s="3"/>
      <c r="E4" s="3"/>
      <c r="F4" s="3"/>
      <c r="G4" s="3"/>
      <c r="H4" s="3"/>
      <c r="I4" s="3"/>
      <c r="J4" s="3"/>
      <c r="K4" s="3"/>
      <c r="L4" s="3"/>
      <c r="M4" s="3"/>
      <c r="N4" s="3"/>
      <c r="O4" s="3"/>
      <c r="P4" s="3"/>
      <c r="Q4" s="3"/>
      <c r="R4" s="3"/>
      <c r="S4" s="3"/>
      <c r="T4" s="3"/>
      <c r="U4" s="3"/>
      <c r="V4" s="3"/>
      <c r="W4" s="3"/>
      <c r="X4" s="3"/>
      <c r="Y4" s="3"/>
      <c r="Z4" s="3"/>
    </row>
    <row r="5" spans="1:26" ht="15.75" customHeight="1" x14ac:dyDescent="0.25">
      <c r="A5" s="6" t="s">
        <v>17</v>
      </c>
      <c r="B5" s="29">
        <v>29666740</v>
      </c>
      <c r="C5" s="3"/>
      <c r="D5" s="3"/>
      <c r="E5" s="3"/>
      <c r="F5" s="3"/>
      <c r="G5" s="3"/>
      <c r="H5" s="3"/>
      <c r="I5" s="3"/>
      <c r="J5" s="3"/>
      <c r="K5" s="3"/>
      <c r="L5" s="3"/>
      <c r="M5" s="3"/>
      <c r="N5" s="3"/>
      <c r="O5" s="3"/>
      <c r="P5" s="3"/>
      <c r="Q5" s="3"/>
      <c r="R5" s="3"/>
      <c r="S5" s="3"/>
      <c r="T5" s="3"/>
      <c r="U5" s="3"/>
      <c r="V5" s="3"/>
      <c r="W5" s="3"/>
      <c r="X5" s="3"/>
      <c r="Y5" s="3"/>
      <c r="Z5" s="3"/>
    </row>
    <row r="6" spans="1:26" ht="15.75" customHeight="1" x14ac:dyDescent="0.25">
      <c r="A6" s="4" t="s">
        <v>18</v>
      </c>
      <c r="B6" s="29">
        <f>SUM(B2:B5)</f>
        <v>73983740</v>
      </c>
      <c r="C6" s="3"/>
      <c r="D6" s="3"/>
      <c r="E6" s="3"/>
      <c r="F6" s="3"/>
      <c r="G6" s="3"/>
      <c r="H6" s="3"/>
      <c r="I6" s="3"/>
      <c r="J6" s="3"/>
      <c r="K6" s="3"/>
      <c r="L6" s="3"/>
      <c r="M6" s="3"/>
      <c r="N6" s="3"/>
      <c r="O6" s="3"/>
      <c r="P6" s="3"/>
      <c r="Q6" s="3"/>
      <c r="R6" s="3"/>
      <c r="S6" s="3"/>
      <c r="T6" s="3"/>
      <c r="U6" s="3"/>
      <c r="V6" s="3"/>
      <c r="W6" s="3"/>
      <c r="X6" s="3"/>
      <c r="Y6" s="3"/>
      <c r="Z6" s="3"/>
    </row>
    <row r="7" spans="1:26" ht="15.75" customHeight="1" x14ac:dyDescent="0.25">
      <c r="A7" s="3"/>
      <c r="B7" s="3"/>
      <c r="C7" s="3"/>
      <c r="D7" s="3"/>
      <c r="E7" s="3"/>
      <c r="F7" s="3"/>
      <c r="G7" s="3"/>
      <c r="H7" s="3"/>
      <c r="I7" s="3"/>
      <c r="J7" s="3"/>
      <c r="K7" s="3"/>
      <c r="L7" s="3"/>
      <c r="M7" s="3"/>
      <c r="N7" s="3"/>
      <c r="O7" s="3"/>
      <c r="P7" s="3"/>
      <c r="Q7" s="3"/>
      <c r="R7" s="3"/>
      <c r="S7" s="3"/>
      <c r="T7" s="3"/>
      <c r="U7" s="3"/>
      <c r="V7" s="3"/>
      <c r="W7" s="3"/>
      <c r="X7" s="3"/>
      <c r="Y7" s="3"/>
      <c r="Z7" s="3"/>
    </row>
    <row r="8" spans="1:26" ht="15.75" customHeight="1" x14ac:dyDescent="0.25">
      <c r="A8" s="3"/>
      <c r="B8" s="3"/>
      <c r="C8" s="3"/>
      <c r="D8" s="3"/>
      <c r="E8" s="3"/>
      <c r="F8" s="3"/>
      <c r="G8" s="3"/>
      <c r="H8" s="3"/>
      <c r="I8" s="3"/>
      <c r="J8" s="3"/>
      <c r="K8" s="3"/>
      <c r="L8" s="3"/>
      <c r="M8" s="3"/>
      <c r="N8" s="3"/>
      <c r="O8" s="3"/>
      <c r="P8" s="3"/>
      <c r="Q8" s="3"/>
      <c r="R8" s="3"/>
      <c r="S8" s="3"/>
      <c r="T8" s="3"/>
      <c r="U8" s="3"/>
      <c r="V8" s="3"/>
      <c r="W8" s="3"/>
      <c r="X8" s="3"/>
      <c r="Y8" s="3"/>
      <c r="Z8" s="3"/>
    </row>
    <row r="9" spans="1:26" ht="15.75" customHeight="1" x14ac:dyDescent="0.25">
      <c r="A9" s="3"/>
      <c r="B9" s="3"/>
      <c r="C9" s="3"/>
      <c r="D9" s="3"/>
      <c r="E9" s="3"/>
      <c r="F9" s="3"/>
      <c r="G9" s="3"/>
      <c r="H9" s="3"/>
      <c r="I9" s="3"/>
      <c r="J9" s="3"/>
      <c r="K9" s="3"/>
      <c r="L9" s="3"/>
      <c r="M9" s="3"/>
      <c r="N9" s="3"/>
      <c r="O9" s="3"/>
      <c r="P9" s="3"/>
      <c r="Q9" s="3"/>
      <c r="R9" s="3"/>
      <c r="S9" s="3"/>
      <c r="T9" s="3"/>
      <c r="U9" s="3"/>
      <c r="V9" s="3"/>
      <c r="W9" s="3"/>
      <c r="X9" s="3"/>
      <c r="Y9" s="3"/>
      <c r="Z9" s="3"/>
    </row>
    <row r="10" spans="1:26" ht="15.75" customHeight="1" x14ac:dyDescent="0.25">
      <c r="A10" s="3"/>
      <c r="B10" s="3"/>
      <c r="C10" s="3"/>
      <c r="D10" s="3"/>
      <c r="E10" s="3"/>
      <c r="F10" s="3"/>
      <c r="G10" s="3"/>
      <c r="H10" s="3"/>
      <c r="I10" s="3"/>
      <c r="J10" s="3"/>
      <c r="K10" s="3"/>
      <c r="L10" s="3"/>
      <c r="M10" s="3"/>
      <c r="N10" s="3"/>
      <c r="O10" s="3"/>
      <c r="P10" s="3"/>
      <c r="Q10" s="3"/>
      <c r="R10" s="3"/>
      <c r="S10" s="3"/>
      <c r="T10" s="3"/>
      <c r="U10" s="3"/>
      <c r="V10" s="3"/>
      <c r="W10" s="3"/>
      <c r="X10" s="3"/>
      <c r="Y10" s="3"/>
      <c r="Z10" s="3"/>
    </row>
    <row r="11" spans="1:26" ht="15.75" customHeight="1" x14ac:dyDescent="0.25">
      <c r="A11" s="3"/>
      <c r="B11" s="3"/>
      <c r="C11" s="3"/>
      <c r="D11" s="3"/>
      <c r="E11" s="3"/>
      <c r="F11" s="3"/>
      <c r="G11" s="3"/>
      <c r="H11" s="3"/>
      <c r="I11" s="3"/>
      <c r="J11" s="3"/>
      <c r="K11" s="3"/>
      <c r="L11" s="3"/>
      <c r="M11" s="3"/>
      <c r="N11" s="3"/>
      <c r="O11" s="3"/>
      <c r="P11" s="3"/>
      <c r="Q11" s="3"/>
      <c r="R11" s="3"/>
      <c r="S11" s="3"/>
      <c r="T11" s="3"/>
      <c r="U11" s="3"/>
      <c r="V11" s="3"/>
      <c r="W11" s="3"/>
      <c r="X11" s="3"/>
      <c r="Y11" s="3"/>
      <c r="Z11" s="3"/>
    </row>
    <row r="12" spans="1:26" ht="15.75" customHeight="1" x14ac:dyDescent="0.25">
      <c r="A12" s="3"/>
      <c r="B12" s="3"/>
      <c r="C12" s="3"/>
      <c r="D12" s="3"/>
      <c r="E12" s="3"/>
      <c r="F12" s="3"/>
      <c r="G12" s="3"/>
      <c r="H12" s="3"/>
      <c r="I12" s="3"/>
      <c r="J12" s="3"/>
      <c r="K12" s="3"/>
      <c r="L12" s="3"/>
      <c r="M12" s="3"/>
      <c r="N12" s="3"/>
      <c r="O12" s="3"/>
      <c r="P12" s="3"/>
      <c r="Q12" s="3"/>
      <c r="R12" s="3"/>
      <c r="S12" s="3"/>
      <c r="T12" s="3"/>
      <c r="U12" s="3"/>
      <c r="V12" s="3"/>
      <c r="W12" s="3"/>
      <c r="X12" s="3"/>
      <c r="Y12" s="3"/>
      <c r="Z12" s="3"/>
    </row>
    <row r="13" spans="1:26" ht="15.75" customHeight="1" x14ac:dyDescent="0.25">
      <c r="A13" s="3"/>
      <c r="B13" s="3"/>
      <c r="C13" s="3"/>
      <c r="D13" s="3"/>
      <c r="E13" s="3"/>
      <c r="F13" s="3"/>
      <c r="G13" s="3"/>
      <c r="H13" s="3"/>
      <c r="I13" s="3"/>
      <c r="J13" s="3"/>
      <c r="K13" s="3"/>
      <c r="L13" s="3"/>
      <c r="M13" s="3"/>
      <c r="N13" s="3"/>
      <c r="O13" s="3"/>
      <c r="P13" s="3"/>
      <c r="Q13" s="3"/>
      <c r="R13" s="3"/>
      <c r="S13" s="3"/>
      <c r="T13" s="3"/>
      <c r="U13" s="3"/>
      <c r="V13" s="3"/>
      <c r="W13" s="3"/>
      <c r="X13" s="3"/>
      <c r="Y13" s="3"/>
      <c r="Z13" s="3"/>
    </row>
    <row r="14" spans="1:26" ht="15.75" customHeight="1" x14ac:dyDescent="0.25">
      <c r="A14" s="3"/>
      <c r="B14" s="3"/>
      <c r="C14" s="3"/>
      <c r="D14" s="3"/>
      <c r="E14" s="3"/>
      <c r="F14" s="3"/>
      <c r="G14" s="3"/>
      <c r="H14" s="3"/>
      <c r="I14" s="3"/>
      <c r="J14" s="3"/>
      <c r="K14" s="3"/>
      <c r="L14" s="3"/>
      <c r="M14" s="3"/>
      <c r="N14" s="3"/>
      <c r="O14" s="3"/>
      <c r="P14" s="3"/>
      <c r="Q14" s="3"/>
      <c r="R14" s="3"/>
      <c r="S14" s="3"/>
      <c r="T14" s="3"/>
      <c r="U14" s="3"/>
      <c r="V14" s="3"/>
      <c r="W14" s="3"/>
      <c r="X14" s="3"/>
      <c r="Y14" s="3"/>
      <c r="Z14" s="3"/>
    </row>
    <row r="15" spans="1:26" ht="15.75" customHeight="1" x14ac:dyDescent="0.25">
      <c r="A15" s="3"/>
      <c r="B15" s="3"/>
      <c r="C15" s="3"/>
      <c r="D15" s="3"/>
      <c r="E15" s="3"/>
      <c r="F15" s="3"/>
      <c r="G15" s="3"/>
      <c r="H15" s="3"/>
      <c r="I15" s="3"/>
      <c r="J15" s="3"/>
      <c r="K15" s="3"/>
      <c r="L15" s="3"/>
      <c r="M15" s="3"/>
      <c r="N15" s="3"/>
      <c r="O15" s="3"/>
      <c r="P15" s="3"/>
      <c r="Q15" s="3"/>
      <c r="R15" s="3"/>
      <c r="S15" s="3"/>
      <c r="T15" s="3"/>
      <c r="U15" s="3"/>
      <c r="V15" s="3"/>
      <c r="W15" s="3"/>
      <c r="X15" s="3"/>
      <c r="Y15" s="3"/>
      <c r="Z15" s="3"/>
    </row>
    <row r="16" spans="1:26" ht="15.75" customHeight="1" x14ac:dyDescent="0.25">
      <c r="A16" s="3"/>
      <c r="B16" s="3"/>
      <c r="C16" s="3"/>
      <c r="D16" s="3"/>
      <c r="E16" s="3"/>
      <c r="F16" s="3"/>
      <c r="G16" s="3"/>
      <c r="H16" s="3"/>
      <c r="I16" s="3"/>
      <c r="J16" s="3"/>
      <c r="K16" s="3"/>
      <c r="L16" s="3"/>
      <c r="M16" s="3"/>
      <c r="N16" s="3"/>
      <c r="O16" s="3"/>
      <c r="P16" s="3"/>
      <c r="Q16" s="3"/>
      <c r="R16" s="3"/>
      <c r="S16" s="3"/>
      <c r="T16" s="3"/>
      <c r="U16" s="3"/>
      <c r="V16" s="3"/>
      <c r="W16" s="3"/>
      <c r="X16" s="3"/>
      <c r="Y16" s="3"/>
      <c r="Z16" s="3"/>
    </row>
    <row r="17" spans="1:26" ht="15.75" customHeight="1" x14ac:dyDescent="0.25">
      <c r="A17" s="3"/>
      <c r="B17" s="3"/>
      <c r="C17" s="3"/>
      <c r="D17" s="3"/>
      <c r="E17" s="3"/>
      <c r="F17" s="3"/>
      <c r="G17" s="3"/>
      <c r="H17" s="3"/>
      <c r="I17" s="3"/>
      <c r="J17" s="3"/>
      <c r="K17" s="3"/>
      <c r="L17" s="3"/>
      <c r="M17" s="3"/>
      <c r="N17" s="3"/>
      <c r="O17" s="3"/>
      <c r="P17" s="3"/>
      <c r="Q17" s="3"/>
      <c r="R17" s="3"/>
      <c r="S17" s="3"/>
      <c r="T17" s="3"/>
      <c r="U17" s="3"/>
      <c r="V17" s="3"/>
      <c r="W17" s="3"/>
      <c r="X17" s="3"/>
      <c r="Y17" s="3"/>
      <c r="Z17" s="3"/>
    </row>
    <row r="18" spans="1:26" ht="15.75" customHeight="1" x14ac:dyDescent="0.25">
      <c r="A18" s="3"/>
      <c r="B18" s="3"/>
      <c r="C18" s="3"/>
      <c r="D18" s="3"/>
      <c r="E18" s="3"/>
      <c r="F18" s="3"/>
      <c r="G18" s="3"/>
      <c r="H18" s="3"/>
      <c r="I18" s="3"/>
      <c r="J18" s="3"/>
      <c r="K18" s="3"/>
      <c r="L18" s="3"/>
      <c r="M18" s="3"/>
      <c r="N18" s="3"/>
      <c r="O18" s="3"/>
      <c r="P18" s="3"/>
      <c r="Q18" s="3"/>
      <c r="R18" s="3"/>
      <c r="S18" s="3"/>
      <c r="T18" s="3"/>
      <c r="U18" s="3"/>
      <c r="V18" s="3"/>
      <c r="W18" s="3"/>
      <c r="X18" s="3"/>
      <c r="Y18" s="3"/>
      <c r="Z18" s="3"/>
    </row>
    <row r="19" spans="1:26" ht="15.75" customHeight="1" x14ac:dyDescent="0.25">
      <c r="A19" s="3"/>
      <c r="B19" s="3"/>
      <c r="C19" s="3"/>
      <c r="D19" s="3"/>
      <c r="E19" s="3"/>
      <c r="F19" s="3"/>
      <c r="G19" s="3"/>
      <c r="H19" s="3"/>
      <c r="I19" s="3"/>
      <c r="J19" s="3"/>
      <c r="K19" s="3"/>
      <c r="L19" s="3"/>
      <c r="M19" s="3"/>
      <c r="N19" s="3"/>
      <c r="O19" s="3"/>
      <c r="P19" s="3"/>
      <c r="Q19" s="3"/>
      <c r="R19" s="3"/>
      <c r="S19" s="3"/>
      <c r="T19" s="3"/>
      <c r="U19" s="3"/>
      <c r="V19" s="3"/>
      <c r="W19" s="3"/>
      <c r="X19" s="3"/>
      <c r="Y19" s="3"/>
      <c r="Z19" s="3"/>
    </row>
    <row r="20" spans="1:26" ht="15.75" customHeight="1" x14ac:dyDescent="0.25">
      <c r="A20" s="3"/>
      <c r="B20" s="3"/>
      <c r="C20" s="3"/>
      <c r="D20" s="3"/>
      <c r="E20" s="3"/>
      <c r="F20" s="3"/>
      <c r="G20" s="3"/>
      <c r="H20" s="3"/>
      <c r="I20" s="3"/>
      <c r="J20" s="3"/>
      <c r="K20" s="3"/>
      <c r="L20" s="3"/>
      <c r="M20" s="3"/>
      <c r="N20" s="3"/>
      <c r="O20" s="3"/>
      <c r="P20" s="3"/>
      <c r="Q20" s="3"/>
      <c r="R20" s="3"/>
      <c r="S20" s="3"/>
      <c r="T20" s="3"/>
      <c r="U20" s="3"/>
      <c r="V20" s="3"/>
      <c r="W20" s="3"/>
      <c r="X20" s="3"/>
      <c r="Y20" s="3"/>
      <c r="Z20" s="3"/>
    </row>
    <row r="21" spans="1:26" ht="15.75" customHeight="1" x14ac:dyDescent="0.25">
      <c r="A21" s="3"/>
      <c r="B21" s="3"/>
      <c r="C21" s="3"/>
      <c r="D21" s="3"/>
      <c r="E21" s="3"/>
      <c r="F21" s="3"/>
      <c r="G21" s="3"/>
      <c r="H21" s="3"/>
      <c r="I21" s="3"/>
      <c r="J21" s="3"/>
      <c r="K21" s="3"/>
      <c r="L21" s="3"/>
      <c r="M21" s="3"/>
      <c r="N21" s="3"/>
      <c r="O21" s="3"/>
      <c r="P21" s="3"/>
      <c r="Q21" s="3"/>
      <c r="R21" s="3"/>
      <c r="S21" s="3"/>
      <c r="T21" s="3"/>
      <c r="U21" s="3"/>
      <c r="V21" s="3"/>
      <c r="W21" s="3"/>
      <c r="X21" s="3"/>
      <c r="Y21" s="3"/>
      <c r="Z21" s="3"/>
    </row>
    <row r="22" spans="1:26" ht="15.75" customHeight="1" x14ac:dyDescent="0.25">
      <c r="A22" s="3"/>
      <c r="B22" s="3"/>
      <c r="C22" s="3"/>
      <c r="D22" s="3"/>
      <c r="E22" s="3"/>
      <c r="F22" s="3"/>
      <c r="G22" s="3"/>
      <c r="H22" s="3"/>
      <c r="I22" s="3"/>
      <c r="J22" s="3"/>
      <c r="K22" s="3"/>
      <c r="L22" s="3"/>
      <c r="M22" s="3"/>
      <c r="N22" s="3"/>
      <c r="O22" s="3"/>
      <c r="P22" s="3"/>
      <c r="Q22" s="3"/>
      <c r="R22" s="3"/>
      <c r="S22" s="3"/>
      <c r="T22" s="3"/>
      <c r="U22" s="3"/>
      <c r="V22" s="3"/>
      <c r="W22" s="3"/>
      <c r="X22" s="3"/>
      <c r="Y22" s="3"/>
      <c r="Z22" s="3"/>
    </row>
    <row r="23" spans="1:26" ht="15.75" customHeight="1" x14ac:dyDescent="0.25">
      <c r="A23" s="3"/>
      <c r="B23" s="3"/>
      <c r="C23" s="3"/>
      <c r="D23" s="3"/>
      <c r="E23" s="3"/>
      <c r="F23" s="3"/>
      <c r="G23" s="3"/>
      <c r="H23" s="3"/>
      <c r="I23" s="3"/>
      <c r="J23" s="3"/>
      <c r="K23" s="3"/>
      <c r="L23" s="3"/>
      <c r="M23" s="3"/>
      <c r="N23" s="3"/>
      <c r="O23" s="3"/>
      <c r="P23" s="3"/>
      <c r="Q23" s="3"/>
      <c r="R23" s="3"/>
      <c r="S23" s="3"/>
      <c r="T23" s="3"/>
      <c r="U23" s="3"/>
      <c r="V23" s="3"/>
      <c r="W23" s="3"/>
      <c r="X23" s="3"/>
      <c r="Y23" s="3"/>
      <c r="Z23" s="3"/>
    </row>
    <row r="24" spans="1:26" x14ac:dyDescent="0.25">
      <c r="A24" s="3"/>
      <c r="B24" s="3"/>
      <c r="C24" s="3"/>
      <c r="D24" s="3"/>
      <c r="E24" s="3"/>
      <c r="F24" s="3"/>
      <c r="G24" s="3"/>
      <c r="H24" s="3"/>
      <c r="I24" s="3"/>
      <c r="J24" s="3"/>
      <c r="K24" s="3"/>
      <c r="L24" s="3"/>
      <c r="M24" s="3"/>
      <c r="N24" s="3"/>
      <c r="O24" s="3"/>
      <c r="P24" s="3"/>
      <c r="Q24" s="3"/>
      <c r="R24" s="3"/>
      <c r="S24" s="3"/>
      <c r="T24" s="3"/>
      <c r="U24" s="3"/>
      <c r="V24" s="3"/>
      <c r="W24" s="3"/>
      <c r="X24" s="3"/>
      <c r="Y24" s="3"/>
      <c r="Z24" s="3"/>
    </row>
    <row r="25" spans="1:26" x14ac:dyDescent="0.25">
      <c r="A25" s="3"/>
      <c r="B25" s="3"/>
      <c r="C25" s="3"/>
      <c r="D25" s="3"/>
      <c r="E25" s="3"/>
      <c r="F25" s="3"/>
      <c r="G25" s="3"/>
      <c r="H25" s="3"/>
      <c r="I25" s="3"/>
      <c r="J25" s="3"/>
      <c r="K25" s="3"/>
      <c r="L25" s="3"/>
      <c r="M25" s="3"/>
      <c r="N25" s="3"/>
      <c r="O25" s="3"/>
      <c r="P25" s="3"/>
      <c r="Q25" s="3"/>
      <c r="R25" s="3"/>
      <c r="S25" s="3"/>
      <c r="T25" s="3"/>
      <c r="U25" s="3"/>
      <c r="V25" s="3"/>
      <c r="W25" s="3"/>
      <c r="X25" s="3"/>
      <c r="Y25" s="3"/>
      <c r="Z25" s="3"/>
    </row>
    <row r="26" spans="1:26" x14ac:dyDescent="0.25">
      <c r="A26" s="3"/>
      <c r="B26" s="3"/>
      <c r="C26" s="3"/>
      <c r="D26" s="3"/>
      <c r="E26" s="3"/>
      <c r="F26" s="3"/>
      <c r="G26" s="3"/>
      <c r="H26" s="3"/>
      <c r="I26" s="3"/>
      <c r="J26" s="3"/>
      <c r="K26" s="3"/>
      <c r="L26" s="3"/>
      <c r="M26" s="3"/>
      <c r="N26" s="3"/>
      <c r="O26" s="3"/>
      <c r="P26" s="3"/>
      <c r="Q26" s="3"/>
      <c r="R26" s="3"/>
      <c r="S26" s="3"/>
      <c r="T26" s="3"/>
      <c r="U26" s="3"/>
      <c r="V26" s="3"/>
      <c r="W26" s="3"/>
      <c r="X26" s="3"/>
      <c r="Y26" s="3"/>
      <c r="Z26" s="3"/>
    </row>
    <row r="27" spans="1:26" x14ac:dyDescent="0.25">
      <c r="A27" s="3"/>
      <c r="B27" s="3"/>
      <c r="C27" s="3"/>
      <c r="D27" s="3"/>
      <c r="E27" s="3"/>
      <c r="F27" s="3"/>
      <c r="G27" s="3"/>
      <c r="H27" s="3"/>
      <c r="I27" s="3"/>
      <c r="J27" s="3"/>
      <c r="K27" s="3"/>
      <c r="L27" s="3"/>
      <c r="M27" s="3"/>
      <c r="N27" s="3"/>
      <c r="O27" s="3"/>
      <c r="P27" s="3"/>
      <c r="Q27" s="3"/>
      <c r="R27" s="3"/>
      <c r="S27" s="3"/>
      <c r="T27" s="3"/>
      <c r="U27" s="3"/>
      <c r="V27" s="3"/>
      <c r="W27" s="3"/>
      <c r="X27" s="3"/>
      <c r="Y27" s="3"/>
      <c r="Z27" s="3"/>
    </row>
    <row r="28" spans="1:26" x14ac:dyDescent="0.25">
      <c r="A28" s="3"/>
      <c r="B28" s="3"/>
      <c r="C28" s="3"/>
      <c r="D28" s="3"/>
      <c r="E28" s="3"/>
      <c r="F28" s="3"/>
      <c r="G28" s="3"/>
      <c r="H28" s="3"/>
      <c r="I28" s="3"/>
      <c r="J28" s="3"/>
      <c r="K28" s="3"/>
      <c r="L28" s="3"/>
      <c r="M28" s="3"/>
      <c r="N28" s="3"/>
      <c r="O28" s="3"/>
      <c r="P28" s="3"/>
      <c r="Q28" s="3"/>
      <c r="R28" s="3"/>
      <c r="S28" s="3"/>
      <c r="T28" s="3"/>
      <c r="U28" s="3"/>
      <c r="V28" s="3"/>
      <c r="W28" s="3"/>
      <c r="X28" s="3"/>
      <c r="Y28" s="3"/>
      <c r="Z28" s="3"/>
    </row>
    <row r="29" spans="1:26" x14ac:dyDescent="0.25">
      <c r="A29" s="3"/>
      <c r="B29" s="3"/>
      <c r="C29" s="3"/>
      <c r="D29" s="3"/>
      <c r="E29" s="3"/>
      <c r="F29" s="3"/>
      <c r="G29" s="3"/>
      <c r="H29" s="3"/>
      <c r="I29" s="3"/>
      <c r="J29" s="3"/>
      <c r="K29" s="3"/>
      <c r="L29" s="3"/>
      <c r="M29" s="3"/>
      <c r="N29" s="3"/>
      <c r="O29" s="3"/>
      <c r="P29" s="3"/>
      <c r="Q29" s="3"/>
      <c r="R29" s="3"/>
      <c r="S29" s="3"/>
      <c r="T29" s="3"/>
      <c r="U29" s="3"/>
      <c r="V29" s="3"/>
      <c r="W29" s="3"/>
      <c r="X29" s="3"/>
      <c r="Y29" s="3"/>
      <c r="Z29" s="3"/>
    </row>
    <row r="30" spans="1:26" x14ac:dyDescent="0.25">
      <c r="A30" s="3"/>
      <c r="B30" s="3"/>
      <c r="C30" s="3"/>
      <c r="D30" s="3"/>
      <c r="E30" s="3"/>
      <c r="F30" s="3"/>
      <c r="G30" s="3"/>
      <c r="H30" s="3"/>
      <c r="I30" s="3"/>
      <c r="J30" s="3"/>
      <c r="K30" s="3"/>
      <c r="L30" s="3"/>
      <c r="M30" s="3"/>
      <c r="N30" s="3"/>
      <c r="O30" s="3"/>
      <c r="P30" s="3"/>
      <c r="Q30" s="3"/>
      <c r="R30" s="3"/>
      <c r="S30" s="3"/>
      <c r="T30" s="3"/>
      <c r="U30" s="3"/>
      <c r="V30" s="3"/>
      <c r="W30" s="3"/>
      <c r="X30" s="3"/>
      <c r="Y30" s="3"/>
      <c r="Z30" s="3"/>
    </row>
    <row r="31" spans="1:26" x14ac:dyDescent="0.25">
      <c r="A31" s="3"/>
      <c r="B31" s="3"/>
      <c r="C31" s="3"/>
      <c r="D31" s="3"/>
      <c r="E31" s="3"/>
      <c r="F31" s="3"/>
      <c r="G31" s="3"/>
      <c r="H31" s="3"/>
      <c r="I31" s="3"/>
      <c r="J31" s="3"/>
      <c r="K31" s="3"/>
      <c r="L31" s="3"/>
      <c r="M31" s="3"/>
      <c r="N31" s="3"/>
      <c r="O31" s="3"/>
      <c r="P31" s="3"/>
      <c r="Q31" s="3"/>
      <c r="R31" s="3"/>
      <c r="S31" s="3"/>
      <c r="T31" s="3"/>
      <c r="U31" s="3"/>
      <c r="V31" s="3"/>
      <c r="W31" s="3"/>
      <c r="X31" s="3"/>
      <c r="Y31" s="3"/>
      <c r="Z31" s="3"/>
    </row>
    <row r="32" spans="1:26" x14ac:dyDescent="0.25">
      <c r="A32" s="3"/>
      <c r="B32" s="3"/>
      <c r="C32" s="3"/>
      <c r="D32" s="3"/>
      <c r="E32" s="3"/>
      <c r="F32" s="3"/>
      <c r="G32" s="3"/>
      <c r="H32" s="3"/>
      <c r="I32" s="3"/>
      <c r="J32" s="3"/>
      <c r="K32" s="3"/>
      <c r="L32" s="3"/>
      <c r="M32" s="3"/>
      <c r="N32" s="3"/>
      <c r="O32" s="3"/>
      <c r="P32" s="3"/>
      <c r="Q32" s="3"/>
      <c r="R32" s="3"/>
      <c r="S32" s="3"/>
      <c r="T32" s="3"/>
      <c r="U32" s="3"/>
      <c r="V32" s="3"/>
      <c r="W32" s="3"/>
      <c r="X32" s="3"/>
      <c r="Y32" s="3"/>
      <c r="Z32" s="3"/>
    </row>
    <row r="33" spans="1:26" x14ac:dyDescent="0.25">
      <c r="A33" s="3"/>
      <c r="B33" s="3"/>
      <c r="C33" s="3"/>
      <c r="D33" s="3"/>
      <c r="E33" s="3"/>
      <c r="F33" s="3"/>
      <c r="G33" s="3"/>
      <c r="H33" s="3"/>
      <c r="I33" s="3"/>
      <c r="J33" s="3"/>
      <c r="K33" s="3"/>
      <c r="L33" s="3"/>
      <c r="M33" s="3"/>
      <c r="N33" s="3"/>
      <c r="O33" s="3"/>
      <c r="P33" s="3"/>
      <c r="Q33" s="3"/>
      <c r="R33" s="3"/>
      <c r="S33" s="3"/>
      <c r="T33" s="3"/>
      <c r="U33" s="3"/>
      <c r="V33" s="3"/>
      <c r="W33" s="3"/>
      <c r="X33" s="3"/>
      <c r="Y33" s="3"/>
      <c r="Z33" s="3"/>
    </row>
    <row r="34" spans="1:26" x14ac:dyDescent="0.25">
      <c r="A34" s="3"/>
      <c r="B34" s="3"/>
      <c r="C34" s="3"/>
      <c r="D34" s="3"/>
      <c r="E34" s="3"/>
      <c r="F34" s="3"/>
      <c r="G34" s="3"/>
      <c r="H34" s="3"/>
      <c r="I34" s="3"/>
      <c r="J34" s="3"/>
      <c r="K34" s="3"/>
      <c r="L34" s="3"/>
      <c r="M34" s="3"/>
      <c r="N34" s="3"/>
      <c r="O34" s="3"/>
      <c r="P34" s="3"/>
      <c r="Q34" s="3"/>
      <c r="R34" s="3"/>
      <c r="S34" s="3"/>
      <c r="T34" s="3"/>
      <c r="U34" s="3"/>
      <c r="V34" s="3"/>
      <c r="W34" s="3"/>
      <c r="X34" s="3"/>
      <c r="Y34" s="3"/>
      <c r="Z34" s="3"/>
    </row>
    <row r="35" spans="1:26" x14ac:dyDescent="0.25">
      <c r="A35" s="3"/>
      <c r="B35" s="3"/>
      <c r="C35" s="3"/>
      <c r="D35" s="3"/>
      <c r="E35" s="3"/>
      <c r="F35" s="3"/>
      <c r="G35" s="3"/>
      <c r="H35" s="3"/>
      <c r="I35" s="3"/>
      <c r="J35" s="3"/>
      <c r="K35" s="3"/>
      <c r="L35" s="3"/>
      <c r="M35" s="3"/>
      <c r="N35" s="3"/>
      <c r="O35" s="3"/>
      <c r="P35" s="3"/>
      <c r="Q35" s="3"/>
      <c r="R35" s="3"/>
      <c r="S35" s="3"/>
      <c r="T35" s="3"/>
      <c r="U35" s="3"/>
      <c r="V35" s="3"/>
      <c r="W35" s="3"/>
      <c r="X35" s="3"/>
      <c r="Y35" s="3"/>
      <c r="Z35" s="3"/>
    </row>
    <row r="36" spans="1:26" x14ac:dyDescent="0.25">
      <c r="A36" s="3"/>
      <c r="B36" s="3"/>
      <c r="C36" s="3"/>
      <c r="D36" s="3"/>
      <c r="E36" s="3"/>
      <c r="F36" s="3"/>
      <c r="G36" s="3"/>
      <c r="H36" s="3"/>
      <c r="I36" s="3"/>
      <c r="J36" s="3"/>
      <c r="K36" s="3"/>
      <c r="L36" s="3"/>
      <c r="M36" s="3"/>
      <c r="N36" s="3"/>
      <c r="O36" s="3"/>
      <c r="P36" s="3"/>
      <c r="Q36" s="3"/>
      <c r="R36" s="3"/>
      <c r="S36" s="3"/>
      <c r="T36" s="3"/>
      <c r="U36" s="3"/>
      <c r="V36" s="3"/>
      <c r="W36" s="3"/>
      <c r="X36" s="3"/>
      <c r="Y36" s="3"/>
      <c r="Z36" s="3"/>
    </row>
    <row r="37" spans="1:26" x14ac:dyDescent="0.25">
      <c r="A37" s="3"/>
      <c r="B37" s="3"/>
      <c r="C37" s="3"/>
      <c r="D37" s="3"/>
      <c r="E37" s="3"/>
      <c r="F37" s="3"/>
      <c r="G37" s="3"/>
      <c r="H37" s="3"/>
      <c r="I37" s="3"/>
      <c r="J37" s="3"/>
      <c r="K37" s="3"/>
      <c r="L37" s="3"/>
      <c r="M37" s="3"/>
      <c r="N37" s="3"/>
      <c r="O37" s="3"/>
      <c r="P37" s="3"/>
      <c r="Q37" s="3"/>
      <c r="R37" s="3"/>
      <c r="S37" s="3"/>
      <c r="T37" s="3"/>
      <c r="U37" s="3"/>
      <c r="V37" s="3"/>
      <c r="W37" s="3"/>
      <c r="X37" s="3"/>
      <c r="Y37" s="3"/>
      <c r="Z37" s="3"/>
    </row>
    <row r="38" spans="1:26" x14ac:dyDescent="0.25">
      <c r="A38" s="3"/>
      <c r="B38" s="3"/>
      <c r="C38" s="3"/>
      <c r="D38" s="3"/>
      <c r="E38" s="3"/>
      <c r="F38" s="3"/>
      <c r="G38" s="3"/>
      <c r="H38" s="3"/>
      <c r="I38" s="3"/>
      <c r="J38" s="3"/>
      <c r="K38" s="3"/>
      <c r="L38" s="3"/>
      <c r="M38" s="3"/>
      <c r="N38" s="3"/>
      <c r="O38" s="3"/>
      <c r="P38" s="3"/>
      <c r="Q38" s="3"/>
      <c r="R38" s="3"/>
      <c r="S38" s="3"/>
      <c r="T38" s="3"/>
      <c r="U38" s="3"/>
      <c r="V38" s="3"/>
      <c r="W38" s="3"/>
      <c r="X38" s="3"/>
      <c r="Y38" s="3"/>
      <c r="Z38" s="3"/>
    </row>
    <row r="39" spans="1:26" x14ac:dyDescent="0.25">
      <c r="A39" s="3"/>
      <c r="B39" s="3"/>
      <c r="C39" s="3"/>
      <c r="D39" s="3"/>
      <c r="E39" s="3"/>
      <c r="F39" s="3"/>
      <c r="G39" s="3"/>
      <c r="H39" s="3"/>
      <c r="I39" s="3"/>
      <c r="J39" s="3"/>
      <c r="K39" s="3"/>
      <c r="L39" s="3"/>
      <c r="M39" s="3"/>
      <c r="N39" s="3"/>
      <c r="O39" s="3"/>
      <c r="P39" s="3"/>
      <c r="Q39" s="3"/>
      <c r="R39" s="3"/>
      <c r="S39" s="3"/>
      <c r="T39" s="3"/>
      <c r="U39" s="3"/>
      <c r="V39" s="3"/>
      <c r="W39" s="3"/>
      <c r="X39" s="3"/>
      <c r="Y39" s="3"/>
      <c r="Z39" s="3"/>
    </row>
    <row r="40" spans="1:26" x14ac:dyDescent="0.25">
      <c r="A40" s="3"/>
      <c r="B40" s="3"/>
      <c r="C40" s="3"/>
      <c r="D40" s="3"/>
      <c r="E40" s="3"/>
      <c r="F40" s="3"/>
      <c r="G40" s="3"/>
      <c r="H40" s="3"/>
      <c r="I40" s="3"/>
      <c r="J40" s="3"/>
      <c r="K40" s="3"/>
      <c r="L40" s="3"/>
      <c r="M40" s="3"/>
      <c r="N40" s="3"/>
      <c r="O40" s="3"/>
      <c r="P40" s="3"/>
      <c r="Q40" s="3"/>
      <c r="R40" s="3"/>
      <c r="S40" s="3"/>
      <c r="T40" s="3"/>
      <c r="U40" s="3"/>
      <c r="V40" s="3"/>
      <c r="W40" s="3"/>
      <c r="X40" s="3"/>
      <c r="Y40" s="3"/>
      <c r="Z40" s="3"/>
    </row>
    <row r="41" spans="1:26" x14ac:dyDescent="0.25">
      <c r="A41" s="3"/>
      <c r="B41" s="3"/>
      <c r="C41" s="3"/>
      <c r="D41" s="3"/>
      <c r="E41" s="3"/>
      <c r="F41" s="3"/>
      <c r="G41" s="3"/>
      <c r="H41" s="3"/>
      <c r="I41" s="3"/>
      <c r="J41" s="3"/>
      <c r="K41" s="3"/>
      <c r="L41" s="3"/>
      <c r="M41" s="3"/>
      <c r="N41" s="3"/>
      <c r="O41" s="3"/>
      <c r="P41" s="3"/>
      <c r="Q41" s="3"/>
      <c r="R41" s="3"/>
      <c r="S41" s="3"/>
      <c r="T41" s="3"/>
      <c r="U41" s="3"/>
      <c r="V41" s="3"/>
      <c r="W41" s="3"/>
      <c r="X41" s="3"/>
      <c r="Y41" s="3"/>
      <c r="Z41" s="3"/>
    </row>
    <row r="42" spans="1:26" x14ac:dyDescent="0.25">
      <c r="A42" s="3"/>
      <c r="B42" s="3"/>
      <c r="C42" s="3"/>
      <c r="D42" s="3"/>
      <c r="E42" s="3"/>
      <c r="F42" s="3"/>
      <c r="G42" s="3"/>
      <c r="H42" s="3"/>
      <c r="I42" s="3"/>
      <c r="J42" s="3"/>
      <c r="K42" s="3"/>
      <c r="L42" s="3"/>
      <c r="M42" s="3"/>
      <c r="N42" s="3"/>
      <c r="O42" s="3"/>
      <c r="P42" s="3"/>
      <c r="Q42" s="3"/>
      <c r="R42" s="3"/>
      <c r="S42" s="3"/>
      <c r="T42" s="3"/>
      <c r="U42" s="3"/>
      <c r="V42" s="3"/>
      <c r="W42" s="3"/>
      <c r="X42" s="3"/>
      <c r="Y42" s="3"/>
      <c r="Z42" s="3"/>
    </row>
    <row r="43" spans="1:26" x14ac:dyDescent="0.25">
      <c r="A43" s="3"/>
      <c r="B43" s="3"/>
      <c r="C43" s="3"/>
      <c r="D43" s="3"/>
      <c r="E43" s="3"/>
      <c r="F43" s="3"/>
      <c r="G43" s="3"/>
      <c r="H43" s="3"/>
      <c r="I43" s="3"/>
      <c r="J43" s="3"/>
      <c r="K43" s="3"/>
      <c r="L43" s="3"/>
      <c r="M43" s="3"/>
      <c r="N43" s="3"/>
      <c r="O43" s="3"/>
      <c r="P43" s="3"/>
      <c r="Q43" s="3"/>
      <c r="R43" s="3"/>
      <c r="S43" s="3"/>
      <c r="T43" s="3"/>
      <c r="U43" s="3"/>
      <c r="V43" s="3"/>
      <c r="W43" s="3"/>
      <c r="X43" s="3"/>
      <c r="Y43" s="3"/>
      <c r="Z43" s="3"/>
    </row>
    <row r="44" spans="1:26" x14ac:dyDescent="0.25">
      <c r="A44" s="3"/>
      <c r="B44" s="3"/>
      <c r="C44" s="3"/>
      <c r="D44" s="3"/>
      <c r="E44" s="3"/>
      <c r="F44" s="3"/>
      <c r="G44" s="3"/>
      <c r="H44" s="3"/>
      <c r="I44" s="3"/>
      <c r="J44" s="3"/>
      <c r="K44" s="3"/>
      <c r="L44" s="3"/>
      <c r="M44" s="3"/>
      <c r="N44" s="3"/>
      <c r="O44" s="3"/>
      <c r="P44" s="3"/>
      <c r="Q44" s="3"/>
      <c r="R44" s="3"/>
      <c r="S44" s="3"/>
      <c r="T44" s="3"/>
      <c r="U44" s="3"/>
      <c r="V44" s="3"/>
      <c r="W44" s="3"/>
      <c r="X44" s="3"/>
      <c r="Y44" s="3"/>
      <c r="Z44" s="3"/>
    </row>
    <row r="45" spans="1:26" x14ac:dyDescent="0.25">
      <c r="A45" s="3"/>
      <c r="B45" s="3"/>
      <c r="C45" s="3"/>
      <c r="D45" s="3"/>
      <c r="E45" s="3"/>
      <c r="F45" s="3"/>
      <c r="G45" s="3"/>
      <c r="H45" s="3"/>
      <c r="I45" s="3"/>
      <c r="J45" s="3"/>
      <c r="K45" s="3"/>
      <c r="L45" s="3"/>
      <c r="M45" s="3"/>
      <c r="N45" s="3"/>
      <c r="O45" s="3"/>
      <c r="P45" s="3"/>
      <c r="Q45" s="3"/>
      <c r="R45" s="3"/>
      <c r="S45" s="3"/>
      <c r="T45" s="3"/>
      <c r="U45" s="3"/>
      <c r="V45" s="3"/>
      <c r="W45" s="3"/>
      <c r="X45" s="3"/>
      <c r="Y45" s="3"/>
      <c r="Z45" s="3"/>
    </row>
    <row r="46" spans="1:26" x14ac:dyDescent="0.25">
      <c r="A46" s="3"/>
      <c r="B46" s="3"/>
      <c r="C46" s="3"/>
      <c r="D46" s="3"/>
      <c r="E46" s="3"/>
      <c r="F46" s="3"/>
      <c r="G46" s="3"/>
      <c r="H46" s="3"/>
      <c r="I46" s="3"/>
      <c r="J46" s="3"/>
      <c r="K46" s="3"/>
      <c r="L46" s="3"/>
      <c r="M46" s="3"/>
      <c r="N46" s="3"/>
      <c r="O46" s="3"/>
      <c r="P46" s="3"/>
      <c r="Q46" s="3"/>
      <c r="R46" s="3"/>
      <c r="S46" s="3"/>
      <c r="T46" s="3"/>
      <c r="U46" s="3"/>
      <c r="V46" s="3"/>
      <c r="W46" s="3"/>
      <c r="X46" s="3"/>
      <c r="Y46" s="3"/>
      <c r="Z46" s="3"/>
    </row>
    <row r="47" spans="1:26" x14ac:dyDescent="0.25">
      <c r="A47" s="3"/>
      <c r="B47" s="3"/>
      <c r="C47" s="3"/>
      <c r="D47" s="3"/>
      <c r="E47" s="3"/>
      <c r="F47" s="3"/>
      <c r="G47" s="3"/>
      <c r="H47" s="3"/>
      <c r="I47" s="3"/>
      <c r="J47" s="3"/>
      <c r="K47" s="3"/>
      <c r="L47" s="3"/>
      <c r="M47" s="3"/>
      <c r="N47" s="3"/>
      <c r="O47" s="3"/>
      <c r="P47" s="3"/>
      <c r="Q47" s="3"/>
      <c r="R47" s="3"/>
      <c r="S47" s="3"/>
      <c r="T47" s="3"/>
      <c r="U47" s="3"/>
      <c r="V47" s="3"/>
      <c r="W47" s="3"/>
      <c r="X47" s="3"/>
      <c r="Y47" s="3"/>
      <c r="Z47" s="3"/>
    </row>
    <row r="48" spans="1:26" x14ac:dyDescent="0.25">
      <c r="A48" s="3"/>
      <c r="B48" s="3"/>
      <c r="C48" s="3"/>
      <c r="D48" s="3"/>
      <c r="E48" s="3"/>
      <c r="F48" s="3"/>
      <c r="G48" s="3"/>
      <c r="H48" s="3"/>
      <c r="I48" s="3"/>
      <c r="J48" s="3"/>
      <c r="K48" s="3"/>
      <c r="L48" s="3"/>
      <c r="M48" s="3"/>
      <c r="N48" s="3"/>
      <c r="O48" s="3"/>
      <c r="P48" s="3"/>
      <c r="Q48" s="3"/>
      <c r="R48" s="3"/>
      <c r="S48" s="3"/>
      <c r="T48" s="3"/>
      <c r="U48" s="3"/>
      <c r="V48" s="3"/>
      <c r="W48" s="3"/>
      <c r="X48" s="3"/>
      <c r="Y48" s="3"/>
      <c r="Z48" s="3"/>
    </row>
    <row r="49" spans="1:26" x14ac:dyDescent="0.25">
      <c r="A49" s="3"/>
      <c r="B49" s="3"/>
      <c r="C49" s="3"/>
      <c r="D49" s="3"/>
      <c r="E49" s="3"/>
      <c r="F49" s="3"/>
      <c r="G49" s="3"/>
      <c r="H49" s="3"/>
      <c r="I49" s="3"/>
      <c r="J49" s="3"/>
      <c r="K49" s="3"/>
      <c r="L49" s="3"/>
      <c r="M49" s="3"/>
      <c r="N49" s="3"/>
      <c r="O49" s="3"/>
      <c r="P49" s="3"/>
      <c r="Q49" s="3"/>
      <c r="R49" s="3"/>
      <c r="S49" s="3"/>
      <c r="T49" s="3"/>
      <c r="U49" s="3"/>
      <c r="V49" s="3"/>
      <c r="W49" s="3"/>
      <c r="X49" s="3"/>
      <c r="Y49" s="3"/>
      <c r="Z49" s="3"/>
    </row>
    <row r="50" spans="1:26" x14ac:dyDescent="0.25">
      <c r="A50" s="3"/>
      <c r="B50" s="3"/>
      <c r="C50" s="3"/>
      <c r="D50" s="3"/>
      <c r="E50" s="3"/>
      <c r="F50" s="3"/>
      <c r="G50" s="3"/>
      <c r="H50" s="3"/>
      <c r="I50" s="3"/>
      <c r="J50" s="3"/>
      <c r="K50" s="3"/>
      <c r="L50" s="3"/>
      <c r="M50" s="3"/>
      <c r="N50" s="3"/>
      <c r="O50" s="3"/>
      <c r="P50" s="3"/>
      <c r="Q50" s="3"/>
      <c r="R50" s="3"/>
      <c r="S50" s="3"/>
      <c r="T50" s="3"/>
      <c r="U50" s="3"/>
      <c r="V50" s="3"/>
      <c r="W50" s="3"/>
      <c r="X50" s="3"/>
      <c r="Y50" s="3"/>
      <c r="Z50" s="3"/>
    </row>
    <row r="51" spans="1:26" x14ac:dyDescent="0.25">
      <c r="A51" s="3"/>
      <c r="B51" s="3"/>
      <c r="C51" s="3"/>
      <c r="D51" s="3"/>
      <c r="E51" s="3"/>
      <c r="F51" s="3"/>
      <c r="G51" s="3"/>
      <c r="H51" s="3"/>
      <c r="I51" s="3"/>
      <c r="J51" s="3"/>
      <c r="K51" s="3"/>
      <c r="L51" s="3"/>
      <c r="M51" s="3"/>
      <c r="N51" s="3"/>
      <c r="O51" s="3"/>
      <c r="P51" s="3"/>
      <c r="Q51" s="3"/>
      <c r="R51" s="3"/>
      <c r="S51" s="3"/>
      <c r="T51" s="3"/>
      <c r="U51" s="3"/>
      <c r="V51" s="3"/>
      <c r="W51" s="3"/>
      <c r="X51" s="3"/>
      <c r="Y51" s="3"/>
      <c r="Z51" s="3"/>
    </row>
    <row r="52" spans="1:26" x14ac:dyDescent="0.25">
      <c r="A52" s="3"/>
      <c r="B52" s="3"/>
      <c r="C52" s="3"/>
      <c r="D52" s="3"/>
      <c r="E52" s="3"/>
      <c r="F52" s="3"/>
      <c r="G52" s="3"/>
      <c r="H52" s="3"/>
      <c r="I52" s="3"/>
      <c r="J52" s="3"/>
      <c r="K52" s="3"/>
      <c r="L52" s="3"/>
      <c r="M52" s="3"/>
      <c r="N52" s="3"/>
      <c r="O52" s="3"/>
      <c r="P52" s="3"/>
      <c r="Q52" s="3"/>
      <c r="R52" s="3"/>
      <c r="S52" s="3"/>
      <c r="T52" s="3"/>
      <c r="U52" s="3"/>
      <c r="V52" s="3"/>
      <c r="W52" s="3"/>
      <c r="X52" s="3"/>
      <c r="Y52" s="3"/>
      <c r="Z52" s="3"/>
    </row>
    <row r="53" spans="1:26" x14ac:dyDescent="0.25">
      <c r="A53" s="3"/>
      <c r="B53" s="3"/>
      <c r="C53" s="3"/>
      <c r="D53" s="3"/>
      <c r="E53" s="3"/>
      <c r="F53" s="3"/>
      <c r="G53" s="3"/>
      <c r="H53" s="3"/>
      <c r="I53" s="3"/>
      <c r="J53" s="3"/>
      <c r="K53" s="3"/>
      <c r="L53" s="3"/>
      <c r="M53" s="3"/>
      <c r="N53" s="3"/>
      <c r="O53" s="3"/>
      <c r="P53" s="3"/>
      <c r="Q53" s="3"/>
      <c r="R53" s="3"/>
      <c r="S53" s="3"/>
      <c r="T53" s="3"/>
      <c r="U53" s="3"/>
      <c r="V53" s="3"/>
      <c r="W53" s="3"/>
      <c r="X53" s="3"/>
      <c r="Y53" s="3"/>
      <c r="Z53" s="3"/>
    </row>
    <row r="54" spans="1:26" x14ac:dyDescent="0.25">
      <c r="A54" s="3"/>
      <c r="B54" s="3"/>
      <c r="C54" s="3"/>
      <c r="D54" s="3"/>
      <c r="E54" s="3"/>
      <c r="F54" s="3"/>
      <c r="G54" s="3"/>
      <c r="H54" s="3"/>
      <c r="I54" s="3"/>
      <c r="J54" s="3"/>
      <c r="K54" s="3"/>
      <c r="L54" s="3"/>
      <c r="M54" s="3"/>
      <c r="N54" s="3"/>
      <c r="O54" s="3"/>
      <c r="P54" s="3"/>
      <c r="Q54" s="3"/>
      <c r="R54" s="3"/>
      <c r="S54" s="3"/>
      <c r="T54" s="3"/>
      <c r="U54" s="3"/>
      <c r="V54" s="3"/>
      <c r="W54" s="3"/>
      <c r="X54" s="3"/>
      <c r="Y54" s="3"/>
      <c r="Z54" s="3"/>
    </row>
    <row r="55" spans="1:26" x14ac:dyDescent="0.25">
      <c r="A55" s="3"/>
      <c r="B55" s="3"/>
      <c r="C55" s="3"/>
      <c r="D55" s="3"/>
      <c r="E55" s="3"/>
      <c r="F55" s="3"/>
      <c r="G55" s="3"/>
      <c r="H55" s="3"/>
      <c r="I55" s="3"/>
      <c r="J55" s="3"/>
      <c r="K55" s="3"/>
      <c r="L55" s="3"/>
      <c r="M55" s="3"/>
      <c r="N55" s="3"/>
      <c r="O55" s="3"/>
      <c r="P55" s="3"/>
      <c r="Q55" s="3"/>
      <c r="R55" s="3"/>
      <c r="S55" s="3"/>
      <c r="T55" s="3"/>
      <c r="U55" s="3"/>
      <c r="V55" s="3"/>
      <c r="W55" s="3"/>
      <c r="X55" s="3"/>
      <c r="Y55" s="3"/>
      <c r="Z55" s="3"/>
    </row>
    <row r="56" spans="1:26" x14ac:dyDescent="0.25">
      <c r="A56" s="3"/>
      <c r="B56" s="3"/>
      <c r="C56" s="3"/>
      <c r="D56" s="3"/>
      <c r="E56" s="3"/>
      <c r="F56" s="3"/>
      <c r="G56" s="3"/>
      <c r="H56" s="3"/>
      <c r="I56" s="3"/>
      <c r="J56" s="3"/>
      <c r="K56" s="3"/>
      <c r="L56" s="3"/>
      <c r="M56" s="3"/>
      <c r="N56" s="3"/>
      <c r="O56" s="3"/>
      <c r="P56" s="3"/>
      <c r="Q56" s="3"/>
      <c r="R56" s="3"/>
      <c r="S56" s="3"/>
      <c r="T56" s="3"/>
      <c r="U56" s="3"/>
      <c r="V56" s="3"/>
      <c r="W56" s="3"/>
      <c r="X56" s="3"/>
      <c r="Y56" s="3"/>
      <c r="Z56" s="3"/>
    </row>
    <row r="57" spans="1:26" x14ac:dyDescent="0.25">
      <c r="A57" s="3"/>
      <c r="B57" s="3"/>
      <c r="C57" s="3"/>
      <c r="D57" s="3"/>
      <c r="E57" s="3"/>
      <c r="F57" s="3"/>
      <c r="G57" s="3"/>
      <c r="H57" s="3"/>
      <c r="I57" s="3"/>
      <c r="J57" s="3"/>
      <c r="K57" s="3"/>
      <c r="L57" s="3"/>
      <c r="M57" s="3"/>
      <c r="N57" s="3"/>
      <c r="O57" s="3"/>
      <c r="P57" s="3"/>
      <c r="Q57" s="3"/>
      <c r="R57" s="3"/>
      <c r="S57" s="3"/>
      <c r="T57" s="3"/>
      <c r="U57" s="3"/>
      <c r="V57" s="3"/>
      <c r="W57" s="3"/>
      <c r="X57" s="3"/>
      <c r="Y57" s="3"/>
      <c r="Z57" s="3"/>
    </row>
    <row r="58" spans="1:26" x14ac:dyDescent="0.25">
      <c r="A58" s="3"/>
      <c r="B58" s="3"/>
      <c r="C58" s="3"/>
      <c r="D58" s="3"/>
      <c r="E58" s="3"/>
      <c r="F58" s="3"/>
      <c r="G58" s="3"/>
      <c r="H58" s="3"/>
      <c r="I58" s="3"/>
      <c r="J58" s="3"/>
      <c r="K58" s="3"/>
      <c r="L58" s="3"/>
      <c r="M58" s="3"/>
      <c r="N58" s="3"/>
      <c r="O58" s="3"/>
      <c r="P58" s="3"/>
      <c r="Q58" s="3"/>
      <c r="R58" s="3"/>
      <c r="S58" s="3"/>
      <c r="T58" s="3"/>
      <c r="U58" s="3"/>
      <c r="V58" s="3"/>
      <c r="W58" s="3"/>
      <c r="X58" s="3"/>
      <c r="Y58" s="3"/>
      <c r="Z58" s="3"/>
    </row>
    <row r="59" spans="1:26" x14ac:dyDescent="0.25">
      <c r="A59" s="3"/>
      <c r="B59" s="3"/>
      <c r="C59" s="3"/>
      <c r="D59" s="3"/>
      <c r="E59" s="3"/>
      <c r="F59" s="3"/>
      <c r="G59" s="3"/>
      <c r="H59" s="3"/>
      <c r="I59" s="3"/>
      <c r="J59" s="3"/>
      <c r="K59" s="3"/>
      <c r="L59" s="3"/>
      <c r="M59" s="3"/>
      <c r="N59" s="3"/>
      <c r="O59" s="3"/>
      <c r="P59" s="3"/>
      <c r="Q59" s="3"/>
      <c r="R59" s="3"/>
      <c r="S59" s="3"/>
      <c r="T59" s="3"/>
      <c r="U59" s="3"/>
      <c r="V59" s="3"/>
      <c r="W59" s="3"/>
      <c r="X59" s="3"/>
      <c r="Y59" s="3"/>
      <c r="Z59" s="3"/>
    </row>
    <row r="60" spans="1:26" x14ac:dyDescent="0.25">
      <c r="A60" s="3"/>
      <c r="B60" s="3"/>
      <c r="C60" s="3"/>
      <c r="D60" s="3"/>
      <c r="E60" s="3"/>
      <c r="F60" s="3"/>
      <c r="G60" s="3"/>
      <c r="H60" s="3"/>
      <c r="I60" s="3"/>
      <c r="J60" s="3"/>
      <c r="K60" s="3"/>
      <c r="L60" s="3"/>
      <c r="M60" s="3"/>
      <c r="N60" s="3"/>
      <c r="O60" s="3"/>
      <c r="P60" s="3"/>
      <c r="Q60" s="3"/>
      <c r="R60" s="3"/>
      <c r="S60" s="3"/>
      <c r="T60" s="3"/>
      <c r="U60" s="3"/>
      <c r="V60" s="3"/>
      <c r="W60" s="3"/>
      <c r="X60" s="3"/>
      <c r="Y60" s="3"/>
      <c r="Z60" s="3"/>
    </row>
    <row r="61" spans="1:26" x14ac:dyDescent="0.25">
      <c r="A61" s="3"/>
      <c r="B61" s="3"/>
      <c r="C61" s="3"/>
      <c r="D61" s="3"/>
      <c r="E61" s="3"/>
      <c r="F61" s="3"/>
      <c r="G61" s="3"/>
      <c r="H61" s="3"/>
      <c r="I61" s="3"/>
      <c r="J61" s="3"/>
      <c r="K61" s="3"/>
      <c r="L61" s="3"/>
      <c r="M61" s="3"/>
      <c r="N61" s="3"/>
      <c r="O61" s="3"/>
      <c r="P61" s="3"/>
      <c r="Q61" s="3"/>
      <c r="R61" s="3"/>
      <c r="S61" s="3"/>
      <c r="T61" s="3"/>
      <c r="U61" s="3"/>
      <c r="V61" s="3"/>
      <c r="W61" s="3"/>
      <c r="X61" s="3"/>
      <c r="Y61" s="3"/>
      <c r="Z61" s="3"/>
    </row>
    <row r="62" spans="1:26" x14ac:dyDescent="0.25">
      <c r="A62" s="3"/>
      <c r="B62" s="3"/>
      <c r="C62" s="3"/>
      <c r="D62" s="3"/>
      <c r="E62" s="3"/>
      <c r="F62" s="3"/>
      <c r="G62" s="3"/>
      <c r="H62" s="3"/>
      <c r="I62" s="3"/>
      <c r="J62" s="3"/>
      <c r="K62" s="3"/>
      <c r="L62" s="3"/>
      <c r="M62" s="3"/>
      <c r="N62" s="3"/>
      <c r="O62" s="3"/>
      <c r="P62" s="3"/>
      <c r="Q62" s="3"/>
      <c r="R62" s="3"/>
      <c r="S62" s="3"/>
      <c r="T62" s="3"/>
      <c r="U62" s="3"/>
      <c r="V62" s="3"/>
      <c r="W62" s="3"/>
      <c r="X62" s="3"/>
      <c r="Y62" s="3"/>
      <c r="Z62" s="3"/>
    </row>
    <row r="63" spans="1:26" x14ac:dyDescent="0.25">
      <c r="A63" s="3"/>
      <c r="B63" s="3"/>
      <c r="C63" s="3"/>
      <c r="D63" s="3"/>
      <c r="E63" s="3"/>
      <c r="F63" s="3"/>
      <c r="G63" s="3"/>
      <c r="H63" s="3"/>
      <c r="I63" s="3"/>
      <c r="J63" s="3"/>
      <c r="K63" s="3"/>
      <c r="L63" s="3"/>
      <c r="M63" s="3"/>
      <c r="N63" s="3"/>
      <c r="O63" s="3"/>
      <c r="P63" s="3"/>
      <c r="Q63" s="3"/>
      <c r="R63" s="3"/>
      <c r="S63" s="3"/>
      <c r="T63" s="3"/>
      <c r="U63" s="3"/>
      <c r="V63" s="3"/>
      <c r="W63" s="3"/>
      <c r="X63" s="3"/>
      <c r="Y63" s="3"/>
      <c r="Z63" s="3"/>
    </row>
    <row r="64" spans="1:26" x14ac:dyDescent="0.25">
      <c r="A64" s="3"/>
      <c r="B64" s="3"/>
      <c r="C64" s="3"/>
      <c r="D64" s="3"/>
      <c r="E64" s="3"/>
      <c r="F64" s="3"/>
      <c r="G64" s="3"/>
      <c r="H64" s="3"/>
      <c r="I64" s="3"/>
      <c r="J64" s="3"/>
      <c r="K64" s="3"/>
      <c r="L64" s="3"/>
      <c r="M64" s="3"/>
      <c r="N64" s="3"/>
      <c r="O64" s="3"/>
      <c r="P64" s="3"/>
      <c r="Q64" s="3"/>
      <c r="R64" s="3"/>
      <c r="S64" s="3"/>
      <c r="T64" s="3"/>
      <c r="U64" s="3"/>
      <c r="V64" s="3"/>
      <c r="W64" s="3"/>
      <c r="X64" s="3"/>
      <c r="Y64" s="3"/>
      <c r="Z64" s="3"/>
    </row>
    <row r="65" spans="1:26" x14ac:dyDescent="0.25">
      <c r="A65" s="3"/>
      <c r="B65" s="3"/>
      <c r="C65" s="3"/>
      <c r="D65" s="3"/>
      <c r="E65" s="3"/>
      <c r="F65" s="3"/>
      <c r="G65" s="3"/>
      <c r="H65" s="3"/>
      <c r="I65" s="3"/>
      <c r="J65" s="3"/>
      <c r="K65" s="3"/>
      <c r="L65" s="3"/>
      <c r="M65" s="3"/>
      <c r="N65" s="3"/>
      <c r="O65" s="3"/>
      <c r="P65" s="3"/>
      <c r="Q65" s="3"/>
      <c r="R65" s="3"/>
      <c r="S65" s="3"/>
      <c r="T65" s="3"/>
      <c r="U65" s="3"/>
      <c r="V65" s="3"/>
      <c r="W65" s="3"/>
      <c r="X65" s="3"/>
      <c r="Y65" s="3"/>
      <c r="Z65" s="3"/>
    </row>
    <row r="66" spans="1:26" x14ac:dyDescent="0.25">
      <c r="A66" s="3"/>
      <c r="B66" s="3"/>
      <c r="C66" s="3"/>
      <c r="D66" s="3"/>
      <c r="E66" s="3"/>
      <c r="F66" s="3"/>
      <c r="G66" s="3"/>
      <c r="H66" s="3"/>
      <c r="I66" s="3"/>
      <c r="J66" s="3"/>
      <c r="K66" s="3"/>
      <c r="L66" s="3"/>
      <c r="M66" s="3"/>
      <c r="N66" s="3"/>
      <c r="O66" s="3"/>
      <c r="P66" s="3"/>
      <c r="Q66" s="3"/>
      <c r="R66" s="3"/>
      <c r="S66" s="3"/>
      <c r="T66" s="3"/>
      <c r="U66" s="3"/>
      <c r="V66" s="3"/>
      <c r="W66" s="3"/>
      <c r="X66" s="3"/>
      <c r="Y66" s="3"/>
      <c r="Z66" s="3"/>
    </row>
    <row r="67" spans="1:26" x14ac:dyDescent="0.25">
      <c r="A67" s="3"/>
      <c r="B67" s="3"/>
      <c r="C67" s="3"/>
      <c r="D67" s="3"/>
      <c r="E67" s="3"/>
      <c r="F67" s="3"/>
      <c r="G67" s="3"/>
      <c r="H67" s="3"/>
      <c r="I67" s="3"/>
      <c r="J67" s="3"/>
      <c r="K67" s="3"/>
      <c r="L67" s="3"/>
      <c r="M67" s="3"/>
      <c r="N67" s="3"/>
      <c r="O67" s="3"/>
      <c r="P67" s="3"/>
      <c r="Q67" s="3"/>
      <c r="R67" s="3"/>
      <c r="S67" s="3"/>
      <c r="T67" s="3"/>
      <c r="U67" s="3"/>
      <c r="V67" s="3"/>
      <c r="W67" s="3"/>
      <c r="X67" s="3"/>
      <c r="Y67" s="3"/>
      <c r="Z67" s="3"/>
    </row>
    <row r="68" spans="1:26" x14ac:dyDescent="0.25">
      <c r="A68" s="3"/>
      <c r="B68" s="3"/>
      <c r="C68" s="3"/>
      <c r="D68" s="3"/>
      <c r="E68" s="3"/>
      <c r="F68" s="3"/>
      <c r="G68" s="3"/>
      <c r="H68" s="3"/>
      <c r="I68" s="3"/>
      <c r="J68" s="3"/>
      <c r="K68" s="3"/>
      <c r="L68" s="3"/>
      <c r="M68" s="3"/>
      <c r="N68" s="3"/>
      <c r="O68" s="3"/>
      <c r="P68" s="3"/>
      <c r="Q68" s="3"/>
      <c r="R68" s="3"/>
      <c r="S68" s="3"/>
      <c r="T68" s="3"/>
      <c r="U68" s="3"/>
      <c r="V68" s="3"/>
      <c r="W68" s="3"/>
      <c r="X68" s="3"/>
      <c r="Y68" s="3"/>
      <c r="Z68" s="3"/>
    </row>
    <row r="69" spans="1:26" x14ac:dyDescent="0.25">
      <c r="A69" s="3"/>
      <c r="B69" s="3"/>
      <c r="C69" s="3"/>
      <c r="D69" s="3"/>
      <c r="E69" s="3"/>
      <c r="F69" s="3"/>
      <c r="G69" s="3"/>
      <c r="H69" s="3"/>
      <c r="I69" s="3"/>
      <c r="J69" s="3"/>
      <c r="K69" s="3"/>
      <c r="L69" s="3"/>
      <c r="M69" s="3"/>
      <c r="N69" s="3"/>
      <c r="O69" s="3"/>
      <c r="P69" s="3"/>
      <c r="Q69" s="3"/>
      <c r="R69" s="3"/>
      <c r="S69" s="3"/>
      <c r="T69" s="3"/>
      <c r="U69" s="3"/>
      <c r="V69" s="3"/>
      <c r="W69" s="3"/>
      <c r="X69" s="3"/>
      <c r="Y69" s="3"/>
      <c r="Z69" s="3"/>
    </row>
    <row r="70" spans="1:26" x14ac:dyDescent="0.25">
      <c r="A70" s="3"/>
      <c r="B70" s="3"/>
      <c r="C70" s="3"/>
      <c r="D70" s="3"/>
      <c r="E70" s="3"/>
      <c r="F70" s="3"/>
      <c r="G70" s="3"/>
      <c r="H70" s="3"/>
      <c r="I70" s="3"/>
      <c r="J70" s="3"/>
      <c r="K70" s="3"/>
      <c r="L70" s="3"/>
      <c r="M70" s="3"/>
      <c r="N70" s="3"/>
      <c r="O70" s="3"/>
      <c r="P70" s="3"/>
      <c r="Q70" s="3"/>
      <c r="R70" s="3"/>
      <c r="S70" s="3"/>
      <c r="T70" s="3"/>
      <c r="U70" s="3"/>
      <c r="V70" s="3"/>
      <c r="W70" s="3"/>
      <c r="X70" s="3"/>
      <c r="Y70" s="3"/>
      <c r="Z70" s="3"/>
    </row>
    <row r="71" spans="1:26" x14ac:dyDescent="0.25">
      <c r="A71" s="3"/>
      <c r="B71" s="3"/>
      <c r="C71" s="3"/>
      <c r="D71" s="3"/>
      <c r="E71" s="3"/>
      <c r="F71" s="3"/>
      <c r="G71" s="3"/>
      <c r="H71" s="3"/>
      <c r="I71" s="3"/>
      <c r="J71" s="3"/>
      <c r="K71" s="3"/>
      <c r="L71" s="3"/>
      <c r="M71" s="3"/>
      <c r="N71" s="3"/>
      <c r="O71" s="3"/>
      <c r="P71" s="3"/>
      <c r="Q71" s="3"/>
      <c r="R71" s="3"/>
      <c r="S71" s="3"/>
      <c r="T71" s="3"/>
      <c r="U71" s="3"/>
      <c r="V71" s="3"/>
      <c r="W71" s="3"/>
      <c r="X71" s="3"/>
      <c r="Y71" s="3"/>
      <c r="Z71" s="3"/>
    </row>
    <row r="72" spans="1:26" x14ac:dyDescent="0.25">
      <c r="A72" s="3"/>
      <c r="B72" s="3"/>
      <c r="C72" s="3"/>
      <c r="D72" s="3"/>
      <c r="E72" s="3"/>
      <c r="F72" s="3"/>
      <c r="G72" s="3"/>
      <c r="H72" s="3"/>
      <c r="I72" s="3"/>
      <c r="J72" s="3"/>
      <c r="K72" s="3"/>
      <c r="L72" s="3"/>
      <c r="M72" s="3"/>
      <c r="N72" s="3"/>
      <c r="O72" s="3"/>
      <c r="P72" s="3"/>
      <c r="Q72" s="3"/>
      <c r="R72" s="3"/>
      <c r="S72" s="3"/>
      <c r="T72" s="3"/>
      <c r="U72" s="3"/>
      <c r="V72" s="3"/>
      <c r="W72" s="3"/>
      <c r="X72" s="3"/>
      <c r="Y72" s="3"/>
      <c r="Z72" s="3"/>
    </row>
    <row r="73" spans="1:26" x14ac:dyDescent="0.25">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x14ac:dyDescent="0.25">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x14ac:dyDescent="0.25">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x14ac:dyDescent="0.25">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x14ac:dyDescent="0.25">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x14ac:dyDescent="0.25">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x14ac:dyDescent="0.25">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x14ac:dyDescent="0.25">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x14ac:dyDescent="0.25">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x14ac:dyDescent="0.25">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x14ac:dyDescent="0.25">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x14ac:dyDescent="0.25">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x14ac:dyDescent="0.25">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x14ac:dyDescent="0.25">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x14ac:dyDescent="0.25">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x14ac:dyDescent="0.25">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x14ac:dyDescent="0.25">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x14ac:dyDescent="0.25">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x14ac:dyDescent="0.25">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x14ac:dyDescent="0.25">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x14ac:dyDescent="0.25">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x14ac:dyDescent="0.25">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x14ac:dyDescent="0.25">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x14ac:dyDescent="0.25">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x14ac:dyDescent="0.25">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x14ac:dyDescent="0.25">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x14ac:dyDescent="0.25">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x14ac:dyDescent="0.2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x14ac:dyDescent="0.2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x14ac:dyDescent="0.2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x14ac:dyDescent="0.2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x14ac:dyDescent="0.2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x14ac:dyDescent="0.2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x14ac:dyDescent="0.2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x14ac:dyDescent="0.2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x14ac:dyDescent="0.2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x14ac:dyDescent="0.2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x14ac:dyDescent="0.2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x14ac:dyDescent="0.2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x14ac:dyDescent="0.2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x14ac:dyDescent="0.2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x14ac:dyDescent="0.2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x14ac:dyDescent="0.2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x14ac:dyDescent="0.2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x14ac:dyDescent="0.2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x14ac:dyDescent="0.2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x14ac:dyDescent="0.2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x14ac:dyDescent="0.2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x14ac:dyDescent="0.2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x14ac:dyDescent="0.2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x14ac:dyDescent="0.2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x14ac:dyDescent="0.2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x14ac:dyDescent="0.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x14ac:dyDescent="0.2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x14ac:dyDescent="0.2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x14ac:dyDescent="0.2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x14ac:dyDescent="0.2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x14ac:dyDescent="0.2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x14ac:dyDescent="0.2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x14ac:dyDescent="0.2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x14ac:dyDescent="0.2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x14ac:dyDescent="0.2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x14ac:dyDescent="0.2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x14ac:dyDescent="0.2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x14ac:dyDescent="0.2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x14ac:dyDescent="0.2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x14ac:dyDescent="0.2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x14ac:dyDescent="0.2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x14ac:dyDescent="0.2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x14ac:dyDescent="0.2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x14ac:dyDescent="0.2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x14ac:dyDescent="0.2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x14ac:dyDescent="0.2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x14ac:dyDescent="0.2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x14ac:dyDescent="0.2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x14ac:dyDescent="0.2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x14ac:dyDescent="0.2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x14ac:dyDescent="0.2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x14ac:dyDescent="0.2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x14ac:dyDescent="0.2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x14ac:dyDescent="0.2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x14ac:dyDescent="0.2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x14ac:dyDescent="0.2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x14ac:dyDescent="0.2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x14ac:dyDescent="0.2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x14ac:dyDescent="0.2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x14ac:dyDescent="0.2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x14ac:dyDescent="0.2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x14ac:dyDescent="0.2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x14ac:dyDescent="0.2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x14ac:dyDescent="0.2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x14ac:dyDescent="0.2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x14ac:dyDescent="0.2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x14ac:dyDescent="0.2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x14ac:dyDescent="0.2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x14ac:dyDescent="0.2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x14ac:dyDescent="0.2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x14ac:dyDescent="0.2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x14ac:dyDescent="0.2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x14ac:dyDescent="0.2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x14ac:dyDescent="0.2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x14ac:dyDescent="0.2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x14ac:dyDescent="0.2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x14ac:dyDescent="0.2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x14ac:dyDescent="0.2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x14ac:dyDescent="0.2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x14ac:dyDescent="0.2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x14ac:dyDescent="0.2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x14ac:dyDescent="0.2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x14ac:dyDescent="0.2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x14ac:dyDescent="0.2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x14ac:dyDescent="0.2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x14ac:dyDescent="0.2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x14ac:dyDescent="0.2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x14ac:dyDescent="0.2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x14ac:dyDescent="0.2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x14ac:dyDescent="0.2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x14ac:dyDescent="0.2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x14ac:dyDescent="0.2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x14ac:dyDescent="0.2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x14ac:dyDescent="0.2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x14ac:dyDescent="0.2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x14ac:dyDescent="0.2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x14ac:dyDescent="0.2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x14ac:dyDescent="0.2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x14ac:dyDescent="0.2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x14ac:dyDescent="0.2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x14ac:dyDescent="0.2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x14ac:dyDescent="0.2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x14ac:dyDescent="0.2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x14ac:dyDescent="0.2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x14ac:dyDescent="0.2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x14ac:dyDescent="0.2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x14ac:dyDescent="0.2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x14ac:dyDescent="0.2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x14ac:dyDescent="0.2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x14ac:dyDescent="0.2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x14ac:dyDescent="0.2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x14ac:dyDescent="0.2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x14ac:dyDescent="0.2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x14ac:dyDescent="0.2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x14ac:dyDescent="0.2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x14ac:dyDescent="0.2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x14ac:dyDescent="0.2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x14ac:dyDescent="0.2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x14ac:dyDescent="0.2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x14ac:dyDescent="0.2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x14ac:dyDescent="0.2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x14ac:dyDescent="0.2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x14ac:dyDescent="0.2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x14ac:dyDescent="0.2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x14ac:dyDescent="0.2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x14ac:dyDescent="0.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x14ac:dyDescent="0.2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x14ac:dyDescent="0.2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x14ac:dyDescent="0.2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x14ac:dyDescent="0.2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x14ac:dyDescent="0.2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x14ac:dyDescent="0.2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x14ac:dyDescent="0.2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x14ac:dyDescent="0.2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x14ac:dyDescent="0.2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x14ac:dyDescent="0.2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x14ac:dyDescent="0.2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x14ac:dyDescent="0.2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x14ac:dyDescent="0.2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x14ac:dyDescent="0.2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x14ac:dyDescent="0.2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x14ac:dyDescent="0.2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x14ac:dyDescent="0.2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x14ac:dyDescent="0.2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x14ac:dyDescent="0.2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x14ac:dyDescent="0.2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x14ac:dyDescent="0.2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x14ac:dyDescent="0.2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x14ac:dyDescent="0.2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x14ac:dyDescent="0.2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x14ac:dyDescent="0.2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x14ac:dyDescent="0.2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x14ac:dyDescent="0.2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x14ac:dyDescent="0.2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x14ac:dyDescent="0.2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x14ac:dyDescent="0.2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x14ac:dyDescent="0.2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x14ac:dyDescent="0.2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x14ac:dyDescent="0.2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x14ac:dyDescent="0.2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x14ac:dyDescent="0.2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x14ac:dyDescent="0.2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x14ac:dyDescent="0.2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x14ac:dyDescent="0.2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x14ac:dyDescent="0.2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x14ac:dyDescent="0.2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x14ac:dyDescent="0.2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x14ac:dyDescent="0.2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x14ac:dyDescent="0.2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x14ac:dyDescent="0.2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x14ac:dyDescent="0.2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x14ac:dyDescent="0.2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x14ac:dyDescent="0.2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x14ac:dyDescent="0.2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x14ac:dyDescent="0.2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x14ac:dyDescent="0.2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x14ac:dyDescent="0.2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x14ac:dyDescent="0.2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x14ac:dyDescent="0.2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x14ac:dyDescent="0.2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x14ac:dyDescent="0.2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x14ac:dyDescent="0.2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x14ac:dyDescent="0.2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x14ac:dyDescent="0.2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x14ac:dyDescent="0.2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x14ac:dyDescent="0.2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x14ac:dyDescent="0.2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x14ac:dyDescent="0.2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x14ac:dyDescent="0.2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x14ac:dyDescent="0.2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x14ac:dyDescent="0.2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x14ac:dyDescent="0.2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x14ac:dyDescent="0.2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x14ac:dyDescent="0.2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x14ac:dyDescent="0.2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x14ac:dyDescent="0.2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x14ac:dyDescent="0.2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x14ac:dyDescent="0.2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x14ac:dyDescent="0.2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x14ac:dyDescent="0.2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x14ac:dyDescent="0.2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x14ac:dyDescent="0.2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x14ac:dyDescent="0.2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x14ac:dyDescent="0.2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x14ac:dyDescent="0.2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x14ac:dyDescent="0.2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x14ac:dyDescent="0.2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x14ac:dyDescent="0.2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x14ac:dyDescent="0.2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x14ac:dyDescent="0.2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x14ac:dyDescent="0.2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x14ac:dyDescent="0.2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x14ac:dyDescent="0.2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x14ac:dyDescent="0.2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x14ac:dyDescent="0.2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x14ac:dyDescent="0.2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x14ac:dyDescent="0.2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x14ac:dyDescent="0.2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x14ac:dyDescent="0.2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x14ac:dyDescent="0.2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x14ac:dyDescent="0.2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x14ac:dyDescent="0.2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x14ac:dyDescent="0.2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x14ac:dyDescent="0.2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x14ac:dyDescent="0.2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x14ac:dyDescent="0.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x14ac:dyDescent="0.2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x14ac:dyDescent="0.2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x14ac:dyDescent="0.2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x14ac:dyDescent="0.2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x14ac:dyDescent="0.2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x14ac:dyDescent="0.2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x14ac:dyDescent="0.2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x14ac:dyDescent="0.2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x14ac:dyDescent="0.2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x14ac:dyDescent="0.2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x14ac:dyDescent="0.2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x14ac:dyDescent="0.2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x14ac:dyDescent="0.2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x14ac:dyDescent="0.2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x14ac:dyDescent="0.2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x14ac:dyDescent="0.2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x14ac:dyDescent="0.2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x14ac:dyDescent="0.2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x14ac:dyDescent="0.2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x14ac:dyDescent="0.2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x14ac:dyDescent="0.2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x14ac:dyDescent="0.2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x14ac:dyDescent="0.2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x14ac:dyDescent="0.2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x14ac:dyDescent="0.2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x14ac:dyDescent="0.2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x14ac:dyDescent="0.2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x14ac:dyDescent="0.2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x14ac:dyDescent="0.2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x14ac:dyDescent="0.2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x14ac:dyDescent="0.2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x14ac:dyDescent="0.2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x14ac:dyDescent="0.2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x14ac:dyDescent="0.2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x14ac:dyDescent="0.2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x14ac:dyDescent="0.2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x14ac:dyDescent="0.2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x14ac:dyDescent="0.2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x14ac:dyDescent="0.2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x14ac:dyDescent="0.2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x14ac:dyDescent="0.2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x14ac:dyDescent="0.2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x14ac:dyDescent="0.2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x14ac:dyDescent="0.2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x14ac:dyDescent="0.2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x14ac:dyDescent="0.2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x14ac:dyDescent="0.2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x14ac:dyDescent="0.2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x14ac:dyDescent="0.2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x14ac:dyDescent="0.2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x14ac:dyDescent="0.2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x14ac:dyDescent="0.2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x14ac:dyDescent="0.2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x14ac:dyDescent="0.2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x14ac:dyDescent="0.2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x14ac:dyDescent="0.2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x14ac:dyDescent="0.2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x14ac:dyDescent="0.2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x14ac:dyDescent="0.2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x14ac:dyDescent="0.2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x14ac:dyDescent="0.2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x14ac:dyDescent="0.2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x14ac:dyDescent="0.2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x14ac:dyDescent="0.2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x14ac:dyDescent="0.2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x14ac:dyDescent="0.2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x14ac:dyDescent="0.2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x14ac:dyDescent="0.2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x14ac:dyDescent="0.2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x14ac:dyDescent="0.2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x14ac:dyDescent="0.2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x14ac:dyDescent="0.2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x14ac:dyDescent="0.2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x14ac:dyDescent="0.2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x14ac:dyDescent="0.2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x14ac:dyDescent="0.2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x14ac:dyDescent="0.2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x14ac:dyDescent="0.2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x14ac:dyDescent="0.2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x14ac:dyDescent="0.2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x14ac:dyDescent="0.2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x14ac:dyDescent="0.2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x14ac:dyDescent="0.2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x14ac:dyDescent="0.2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x14ac:dyDescent="0.2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x14ac:dyDescent="0.2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x14ac:dyDescent="0.2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x14ac:dyDescent="0.2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x14ac:dyDescent="0.2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x14ac:dyDescent="0.2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x14ac:dyDescent="0.2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x14ac:dyDescent="0.2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x14ac:dyDescent="0.2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x14ac:dyDescent="0.2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x14ac:dyDescent="0.2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x14ac:dyDescent="0.2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x14ac:dyDescent="0.2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x14ac:dyDescent="0.2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x14ac:dyDescent="0.2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x14ac:dyDescent="0.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x14ac:dyDescent="0.2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x14ac:dyDescent="0.2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x14ac:dyDescent="0.2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x14ac:dyDescent="0.2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x14ac:dyDescent="0.2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x14ac:dyDescent="0.2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x14ac:dyDescent="0.2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x14ac:dyDescent="0.2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x14ac:dyDescent="0.2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x14ac:dyDescent="0.2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x14ac:dyDescent="0.2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x14ac:dyDescent="0.2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x14ac:dyDescent="0.2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x14ac:dyDescent="0.2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x14ac:dyDescent="0.2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x14ac:dyDescent="0.2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x14ac:dyDescent="0.2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x14ac:dyDescent="0.2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x14ac:dyDescent="0.2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x14ac:dyDescent="0.2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x14ac:dyDescent="0.2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x14ac:dyDescent="0.2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x14ac:dyDescent="0.2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x14ac:dyDescent="0.2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x14ac:dyDescent="0.2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x14ac:dyDescent="0.2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x14ac:dyDescent="0.2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x14ac:dyDescent="0.2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x14ac:dyDescent="0.2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x14ac:dyDescent="0.2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x14ac:dyDescent="0.2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x14ac:dyDescent="0.2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x14ac:dyDescent="0.2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x14ac:dyDescent="0.2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x14ac:dyDescent="0.2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x14ac:dyDescent="0.2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x14ac:dyDescent="0.2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x14ac:dyDescent="0.2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x14ac:dyDescent="0.2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x14ac:dyDescent="0.2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x14ac:dyDescent="0.2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x14ac:dyDescent="0.2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x14ac:dyDescent="0.2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x14ac:dyDescent="0.2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x14ac:dyDescent="0.2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x14ac:dyDescent="0.2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x14ac:dyDescent="0.2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x14ac:dyDescent="0.2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x14ac:dyDescent="0.2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x14ac:dyDescent="0.2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x14ac:dyDescent="0.2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x14ac:dyDescent="0.2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x14ac:dyDescent="0.2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x14ac:dyDescent="0.2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x14ac:dyDescent="0.2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x14ac:dyDescent="0.2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x14ac:dyDescent="0.2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x14ac:dyDescent="0.2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x14ac:dyDescent="0.2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x14ac:dyDescent="0.2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x14ac:dyDescent="0.2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x14ac:dyDescent="0.2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x14ac:dyDescent="0.2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x14ac:dyDescent="0.2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x14ac:dyDescent="0.2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x14ac:dyDescent="0.2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x14ac:dyDescent="0.2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x14ac:dyDescent="0.2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x14ac:dyDescent="0.2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x14ac:dyDescent="0.2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x14ac:dyDescent="0.2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x14ac:dyDescent="0.2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x14ac:dyDescent="0.2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x14ac:dyDescent="0.2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x14ac:dyDescent="0.2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x14ac:dyDescent="0.2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x14ac:dyDescent="0.2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x14ac:dyDescent="0.2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x14ac:dyDescent="0.2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x14ac:dyDescent="0.2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x14ac:dyDescent="0.2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x14ac:dyDescent="0.2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x14ac:dyDescent="0.2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x14ac:dyDescent="0.2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x14ac:dyDescent="0.2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x14ac:dyDescent="0.2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x14ac:dyDescent="0.2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x14ac:dyDescent="0.2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x14ac:dyDescent="0.2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x14ac:dyDescent="0.2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x14ac:dyDescent="0.2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x14ac:dyDescent="0.2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x14ac:dyDescent="0.2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x14ac:dyDescent="0.2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x14ac:dyDescent="0.2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x14ac:dyDescent="0.2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x14ac:dyDescent="0.2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x14ac:dyDescent="0.2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x14ac:dyDescent="0.2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x14ac:dyDescent="0.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x14ac:dyDescent="0.2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x14ac:dyDescent="0.2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x14ac:dyDescent="0.2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x14ac:dyDescent="0.2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x14ac:dyDescent="0.2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x14ac:dyDescent="0.2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x14ac:dyDescent="0.2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x14ac:dyDescent="0.2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x14ac:dyDescent="0.2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x14ac:dyDescent="0.2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x14ac:dyDescent="0.2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x14ac:dyDescent="0.2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x14ac:dyDescent="0.2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x14ac:dyDescent="0.2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x14ac:dyDescent="0.2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x14ac:dyDescent="0.2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x14ac:dyDescent="0.2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x14ac:dyDescent="0.2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x14ac:dyDescent="0.2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x14ac:dyDescent="0.2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x14ac:dyDescent="0.2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x14ac:dyDescent="0.2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x14ac:dyDescent="0.2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x14ac:dyDescent="0.2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x14ac:dyDescent="0.2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x14ac:dyDescent="0.2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x14ac:dyDescent="0.2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x14ac:dyDescent="0.2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x14ac:dyDescent="0.2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x14ac:dyDescent="0.2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x14ac:dyDescent="0.2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x14ac:dyDescent="0.2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x14ac:dyDescent="0.2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x14ac:dyDescent="0.2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x14ac:dyDescent="0.2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x14ac:dyDescent="0.2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x14ac:dyDescent="0.2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x14ac:dyDescent="0.2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x14ac:dyDescent="0.2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x14ac:dyDescent="0.2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x14ac:dyDescent="0.2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x14ac:dyDescent="0.2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x14ac:dyDescent="0.2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x14ac:dyDescent="0.2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x14ac:dyDescent="0.2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x14ac:dyDescent="0.2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x14ac:dyDescent="0.2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x14ac:dyDescent="0.2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x14ac:dyDescent="0.2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x14ac:dyDescent="0.2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x14ac:dyDescent="0.2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x14ac:dyDescent="0.2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x14ac:dyDescent="0.2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x14ac:dyDescent="0.2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x14ac:dyDescent="0.2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x14ac:dyDescent="0.2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x14ac:dyDescent="0.2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x14ac:dyDescent="0.2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x14ac:dyDescent="0.2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x14ac:dyDescent="0.2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x14ac:dyDescent="0.2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x14ac:dyDescent="0.2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x14ac:dyDescent="0.2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x14ac:dyDescent="0.2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x14ac:dyDescent="0.2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x14ac:dyDescent="0.2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x14ac:dyDescent="0.2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x14ac:dyDescent="0.2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x14ac:dyDescent="0.2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x14ac:dyDescent="0.2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x14ac:dyDescent="0.2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x14ac:dyDescent="0.2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x14ac:dyDescent="0.2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x14ac:dyDescent="0.2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x14ac:dyDescent="0.2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x14ac:dyDescent="0.2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x14ac:dyDescent="0.2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x14ac:dyDescent="0.2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x14ac:dyDescent="0.2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x14ac:dyDescent="0.2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x14ac:dyDescent="0.2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x14ac:dyDescent="0.2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x14ac:dyDescent="0.2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x14ac:dyDescent="0.2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x14ac:dyDescent="0.2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x14ac:dyDescent="0.2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x14ac:dyDescent="0.2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x14ac:dyDescent="0.2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x14ac:dyDescent="0.2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x14ac:dyDescent="0.2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x14ac:dyDescent="0.2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x14ac:dyDescent="0.2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x14ac:dyDescent="0.2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x14ac:dyDescent="0.2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x14ac:dyDescent="0.2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x14ac:dyDescent="0.2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x14ac:dyDescent="0.2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x14ac:dyDescent="0.2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x14ac:dyDescent="0.2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x14ac:dyDescent="0.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x14ac:dyDescent="0.2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x14ac:dyDescent="0.2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x14ac:dyDescent="0.2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x14ac:dyDescent="0.2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x14ac:dyDescent="0.2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x14ac:dyDescent="0.2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x14ac:dyDescent="0.2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x14ac:dyDescent="0.2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x14ac:dyDescent="0.2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x14ac:dyDescent="0.2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x14ac:dyDescent="0.2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x14ac:dyDescent="0.2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x14ac:dyDescent="0.2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x14ac:dyDescent="0.2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x14ac:dyDescent="0.2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x14ac:dyDescent="0.2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x14ac:dyDescent="0.2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x14ac:dyDescent="0.2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x14ac:dyDescent="0.2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x14ac:dyDescent="0.2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x14ac:dyDescent="0.2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x14ac:dyDescent="0.2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x14ac:dyDescent="0.2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x14ac:dyDescent="0.2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x14ac:dyDescent="0.2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x14ac:dyDescent="0.2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x14ac:dyDescent="0.2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x14ac:dyDescent="0.2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x14ac:dyDescent="0.2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x14ac:dyDescent="0.2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x14ac:dyDescent="0.2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x14ac:dyDescent="0.2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x14ac:dyDescent="0.2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x14ac:dyDescent="0.2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x14ac:dyDescent="0.2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x14ac:dyDescent="0.2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x14ac:dyDescent="0.2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x14ac:dyDescent="0.2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x14ac:dyDescent="0.2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x14ac:dyDescent="0.2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x14ac:dyDescent="0.2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x14ac:dyDescent="0.2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x14ac:dyDescent="0.2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x14ac:dyDescent="0.2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x14ac:dyDescent="0.2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x14ac:dyDescent="0.2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x14ac:dyDescent="0.2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x14ac:dyDescent="0.2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x14ac:dyDescent="0.2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x14ac:dyDescent="0.2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x14ac:dyDescent="0.2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x14ac:dyDescent="0.2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x14ac:dyDescent="0.2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x14ac:dyDescent="0.2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x14ac:dyDescent="0.2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x14ac:dyDescent="0.2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x14ac:dyDescent="0.2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x14ac:dyDescent="0.2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x14ac:dyDescent="0.2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x14ac:dyDescent="0.2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x14ac:dyDescent="0.2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x14ac:dyDescent="0.2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x14ac:dyDescent="0.2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x14ac:dyDescent="0.2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x14ac:dyDescent="0.2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x14ac:dyDescent="0.2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x14ac:dyDescent="0.2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x14ac:dyDescent="0.2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x14ac:dyDescent="0.2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x14ac:dyDescent="0.2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x14ac:dyDescent="0.2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x14ac:dyDescent="0.2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x14ac:dyDescent="0.2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x14ac:dyDescent="0.2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x14ac:dyDescent="0.2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x14ac:dyDescent="0.2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x14ac:dyDescent="0.2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x14ac:dyDescent="0.2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x14ac:dyDescent="0.2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x14ac:dyDescent="0.2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x14ac:dyDescent="0.2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x14ac:dyDescent="0.2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x14ac:dyDescent="0.2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x14ac:dyDescent="0.2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x14ac:dyDescent="0.2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x14ac:dyDescent="0.2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x14ac:dyDescent="0.2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x14ac:dyDescent="0.2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x14ac:dyDescent="0.2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x14ac:dyDescent="0.2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x14ac:dyDescent="0.2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x14ac:dyDescent="0.2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x14ac:dyDescent="0.2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x14ac:dyDescent="0.2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x14ac:dyDescent="0.2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x14ac:dyDescent="0.2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x14ac:dyDescent="0.2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x14ac:dyDescent="0.2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x14ac:dyDescent="0.2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x14ac:dyDescent="0.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x14ac:dyDescent="0.2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x14ac:dyDescent="0.2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x14ac:dyDescent="0.2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x14ac:dyDescent="0.2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x14ac:dyDescent="0.2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x14ac:dyDescent="0.2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x14ac:dyDescent="0.2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x14ac:dyDescent="0.2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x14ac:dyDescent="0.2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x14ac:dyDescent="0.2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x14ac:dyDescent="0.2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x14ac:dyDescent="0.2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x14ac:dyDescent="0.2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x14ac:dyDescent="0.2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x14ac:dyDescent="0.2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x14ac:dyDescent="0.2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x14ac:dyDescent="0.2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x14ac:dyDescent="0.2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x14ac:dyDescent="0.2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x14ac:dyDescent="0.2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x14ac:dyDescent="0.2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x14ac:dyDescent="0.2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x14ac:dyDescent="0.2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x14ac:dyDescent="0.2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x14ac:dyDescent="0.2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x14ac:dyDescent="0.2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x14ac:dyDescent="0.2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x14ac:dyDescent="0.2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x14ac:dyDescent="0.2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x14ac:dyDescent="0.2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x14ac:dyDescent="0.2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x14ac:dyDescent="0.2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x14ac:dyDescent="0.2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x14ac:dyDescent="0.2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x14ac:dyDescent="0.2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x14ac:dyDescent="0.2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x14ac:dyDescent="0.2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x14ac:dyDescent="0.2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x14ac:dyDescent="0.2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x14ac:dyDescent="0.2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x14ac:dyDescent="0.2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x14ac:dyDescent="0.2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x14ac:dyDescent="0.2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x14ac:dyDescent="0.2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x14ac:dyDescent="0.2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x14ac:dyDescent="0.2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x14ac:dyDescent="0.2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x14ac:dyDescent="0.2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x14ac:dyDescent="0.2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x14ac:dyDescent="0.2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x14ac:dyDescent="0.2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x14ac:dyDescent="0.2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x14ac:dyDescent="0.2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x14ac:dyDescent="0.2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x14ac:dyDescent="0.2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x14ac:dyDescent="0.2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x14ac:dyDescent="0.2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x14ac:dyDescent="0.2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x14ac:dyDescent="0.2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x14ac:dyDescent="0.2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x14ac:dyDescent="0.2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x14ac:dyDescent="0.2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x14ac:dyDescent="0.2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x14ac:dyDescent="0.2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x14ac:dyDescent="0.2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x14ac:dyDescent="0.2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x14ac:dyDescent="0.2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x14ac:dyDescent="0.2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x14ac:dyDescent="0.2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x14ac:dyDescent="0.2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x14ac:dyDescent="0.2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x14ac:dyDescent="0.2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x14ac:dyDescent="0.2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x14ac:dyDescent="0.2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x14ac:dyDescent="0.2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x14ac:dyDescent="0.2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x14ac:dyDescent="0.2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x14ac:dyDescent="0.2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x14ac:dyDescent="0.2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x14ac:dyDescent="0.2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x14ac:dyDescent="0.2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x14ac:dyDescent="0.2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x14ac:dyDescent="0.2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x14ac:dyDescent="0.2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x14ac:dyDescent="0.2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x14ac:dyDescent="0.2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x14ac:dyDescent="0.2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x14ac:dyDescent="0.2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x14ac:dyDescent="0.2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x14ac:dyDescent="0.2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x14ac:dyDescent="0.2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x14ac:dyDescent="0.2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x14ac:dyDescent="0.2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x14ac:dyDescent="0.2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x14ac:dyDescent="0.2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x14ac:dyDescent="0.2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x14ac:dyDescent="0.2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x14ac:dyDescent="0.2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x14ac:dyDescent="0.2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x14ac:dyDescent="0.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x14ac:dyDescent="0.2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x14ac:dyDescent="0.2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x14ac:dyDescent="0.2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x14ac:dyDescent="0.2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x14ac:dyDescent="0.2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x14ac:dyDescent="0.2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x14ac:dyDescent="0.2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x14ac:dyDescent="0.2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x14ac:dyDescent="0.2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x14ac:dyDescent="0.2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x14ac:dyDescent="0.2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x14ac:dyDescent="0.2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x14ac:dyDescent="0.2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x14ac:dyDescent="0.2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x14ac:dyDescent="0.2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x14ac:dyDescent="0.2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x14ac:dyDescent="0.2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x14ac:dyDescent="0.2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x14ac:dyDescent="0.2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x14ac:dyDescent="0.2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x14ac:dyDescent="0.2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x14ac:dyDescent="0.2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x14ac:dyDescent="0.2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x14ac:dyDescent="0.2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x14ac:dyDescent="0.2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x14ac:dyDescent="0.2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x14ac:dyDescent="0.2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x14ac:dyDescent="0.2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x14ac:dyDescent="0.2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x14ac:dyDescent="0.2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x14ac:dyDescent="0.2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x14ac:dyDescent="0.2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x14ac:dyDescent="0.2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x14ac:dyDescent="0.2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x14ac:dyDescent="0.2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x14ac:dyDescent="0.2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x14ac:dyDescent="0.2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x14ac:dyDescent="0.2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x14ac:dyDescent="0.2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x14ac:dyDescent="0.2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x14ac:dyDescent="0.2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x14ac:dyDescent="0.2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x14ac:dyDescent="0.2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x14ac:dyDescent="0.2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x14ac:dyDescent="0.2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x14ac:dyDescent="0.2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x14ac:dyDescent="0.2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x14ac:dyDescent="0.2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x14ac:dyDescent="0.2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x14ac:dyDescent="0.2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x14ac:dyDescent="0.2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x14ac:dyDescent="0.2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x14ac:dyDescent="0.2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x14ac:dyDescent="0.2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x14ac:dyDescent="0.2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x14ac:dyDescent="0.2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x14ac:dyDescent="0.2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x14ac:dyDescent="0.2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x14ac:dyDescent="0.2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x14ac:dyDescent="0.2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x14ac:dyDescent="0.2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x14ac:dyDescent="0.2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x14ac:dyDescent="0.2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x14ac:dyDescent="0.2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x14ac:dyDescent="0.2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x14ac:dyDescent="0.2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x14ac:dyDescent="0.2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x14ac:dyDescent="0.2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x14ac:dyDescent="0.2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x14ac:dyDescent="0.2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x14ac:dyDescent="0.2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x14ac:dyDescent="0.2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x14ac:dyDescent="0.2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x14ac:dyDescent="0.2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x14ac:dyDescent="0.2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x14ac:dyDescent="0.2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x14ac:dyDescent="0.2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x14ac:dyDescent="0.2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x14ac:dyDescent="0.2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x14ac:dyDescent="0.2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x14ac:dyDescent="0.2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x14ac:dyDescent="0.2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x14ac:dyDescent="0.2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x14ac:dyDescent="0.2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x14ac:dyDescent="0.2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x14ac:dyDescent="0.2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x14ac:dyDescent="0.2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x14ac:dyDescent="0.2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x14ac:dyDescent="0.2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x14ac:dyDescent="0.2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x14ac:dyDescent="0.2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x14ac:dyDescent="0.2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x14ac:dyDescent="0.2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x14ac:dyDescent="0.2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x14ac:dyDescent="0.2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x14ac:dyDescent="0.2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x14ac:dyDescent="0.2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x14ac:dyDescent="0.2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x14ac:dyDescent="0.2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x14ac:dyDescent="0.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x14ac:dyDescent="0.2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x14ac:dyDescent="0.2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x14ac:dyDescent="0.2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x14ac:dyDescent="0.2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x14ac:dyDescent="0.2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x14ac:dyDescent="0.2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x14ac:dyDescent="0.2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x14ac:dyDescent="0.2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x14ac:dyDescent="0.2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x14ac:dyDescent="0.2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x14ac:dyDescent="0.2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x14ac:dyDescent="0.2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x14ac:dyDescent="0.2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x14ac:dyDescent="0.2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x14ac:dyDescent="0.2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x14ac:dyDescent="0.2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x14ac:dyDescent="0.2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x14ac:dyDescent="0.2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x14ac:dyDescent="0.2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x14ac:dyDescent="0.2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x14ac:dyDescent="0.2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x14ac:dyDescent="0.2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x14ac:dyDescent="0.2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x14ac:dyDescent="0.2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x14ac:dyDescent="0.2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x14ac:dyDescent="0.2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x14ac:dyDescent="0.2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x14ac:dyDescent="0.2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x14ac:dyDescent="0.2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x14ac:dyDescent="0.2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x14ac:dyDescent="0.2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x14ac:dyDescent="0.2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x14ac:dyDescent="0.2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x14ac:dyDescent="0.2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x14ac:dyDescent="0.2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x14ac:dyDescent="0.2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x14ac:dyDescent="0.2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x14ac:dyDescent="0.2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x14ac:dyDescent="0.2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x14ac:dyDescent="0.2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x14ac:dyDescent="0.2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x14ac:dyDescent="0.2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x14ac:dyDescent="0.2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x14ac:dyDescent="0.2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x14ac:dyDescent="0.2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x14ac:dyDescent="0.2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x14ac:dyDescent="0.2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x14ac:dyDescent="0.2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x14ac:dyDescent="0.2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x14ac:dyDescent="0.2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x14ac:dyDescent="0.2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x14ac:dyDescent="0.2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x14ac:dyDescent="0.2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x14ac:dyDescent="0.2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x14ac:dyDescent="0.2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x14ac:dyDescent="0.2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x14ac:dyDescent="0.2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x14ac:dyDescent="0.2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x14ac:dyDescent="0.2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x14ac:dyDescent="0.2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x14ac:dyDescent="0.2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x14ac:dyDescent="0.2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x14ac:dyDescent="0.2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x14ac:dyDescent="0.2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x14ac:dyDescent="0.2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x14ac:dyDescent="0.2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x14ac:dyDescent="0.2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x14ac:dyDescent="0.2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x14ac:dyDescent="0.2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x14ac:dyDescent="0.2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x14ac:dyDescent="0.2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x14ac:dyDescent="0.2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x14ac:dyDescent="0.2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E12"/>
  <sheetViews>
    <sheetView workbookViewId="0">
      <selection activeCell="A21" sqref="A21"/>
    </sheetView>
  </sheetViews>
  <sheetFormatPr baseColWidth="10" defaultColWidth="12.5703125" defaultRowHeight="15.75" customHeight="1" x14ac:dyDescent="0.2"/>
  <cols>
    <col min="1" max="1" width="4.5703125" customWidth="1"/>
    <col min="2" max="2" width="56.42578125" bestFit="1" customWidth="1"/>
    <col min="3" max="3" width="19.140625" bestFit="1" customWidth="1"/>
  </cols>
  <sheetData>
    <row r="1" spans="1:5" ht="15.75" customHeight="1" x14ac:dyDescent="0.25">
      <c r="A1" s="8" t="s">
        <v>19</v>
      </c>
      <c r="B1" s="10" t="s">
        <v>20</v>
      </c>
      <c r="C1" s="2" t="s">
        <v>21</v>
      </c>
      <c r="D1" s="11" t="s">
        <v>22</v>
      </c>
      <c r="E1" s="9" t="s">
        <v>23</v>
      </c>
    </row>
    <row r="2" spans="1:5" ht="15.75" customHeight="1" x14ac:dyDescent="0.25">
      <c r="A2" s="35">
        <v>1</v>
      </c>
      <c r="B2" s="4" t="s">
        <v>24</v>
      </c>
      <c r="C2" s="4" t="s">
        <v>25</v>
      </c>
      <c r="D2" s="12" t="s">
        <v>26</v>
      </c>
      <c r="E2" s="12" t="s">
        <v>27</v>
      </c>
    </row>
    <row r="3" spans="1:5" ht="15.75" customHeight="1" x14ac:dyDescent="0.25">
      <c r="A3" s="12">
        <v>1.1000000000000001</v>
      </c>
      <c r="B3" s="34" t="s">
        <v>28</v>
      </c>
      <c r="C3" s="4" t="s">
        <v>25</v>
      </c>
      <c r="D3" s="12" t="s">
        <v>29</v>
      </c>
      <c r="E3" s="4" t="s">
        <v>30</v>
      </c>
    </row>
    <row r="4" spans="1:5" ht="15.75" customHeight="1" x14ac:dyDescent="0.25">
      <c r="A4" s="12">
        <v>1.2</v>
      </c>
      <c r="B4" s="4" t="s">
        <v>31</v>
      </c>
      <c r="C4" s="4" t="s">
        <v>25</v>
      </c>
      <c r="D4" s="4" t="s">
        <v>32</v>
      </c>
      <c r="E4" s="4" t="s">
        <v>33</v>
      </c>
    </row>
    <row r="5" spans="1:5" ht="15.75" customHeight="1" x14ac:dyDescent="0.25">
      <c r="A5" s="35">
        <v>2</v>
      </c>
      <c r="B5" s="4" t="s">
        <v>34</v>
      </c>
      <c r="C5" s="4" t="s">
        <v>25</v>
      </c>
      <c r="D5" s="4" t="s">
        <v>35</v>
      </c>
      <c r="E5" s="12" t="s">
        <v>36</v>
      </c>
    </row>
    <row r="6" spans="1:5" ht="15.75" customHeight="1" x14ac:dyDescent="0.25">
      <c r="A6" s="12">
        <v>2.1</v>
      </c>
      <c r="B6" s="4" t="s">
        <v>37</v>
      </c>
      <c r="C6" s="4" t="s">
        <v>25</v>
      </c>
      <c r="D6" s="12" t="s">
        <v>38</v>
      </c>
      <c r="E6" s="4" t="s">
        <v>39</v>
      </c>
    </row>
    <row r="7" spans="1:5" ht="15.75" customHeight="1" x14ac:dyDescent="0.25">
      <c r="A7" s="12">
        <v>2.2000000000000002</v>
      </c>
      <c r="B7" s="4" t="s">
        <v>40</v>
      </c>
      <c r="C7" s="4" t="s">
        <v>25</v>
      </c>
      <c r="D7" s="4" t="s">
        <v>41</v>
      </c>
      <c r="E7" s="4" t="s">
        <v>42</v>
      </c>
    </row>
    <row r="8" spans="1:5" ht="15.75" customHeight="1" x14ac:dyDescent="0.25">
      <c r="A8" s="12">
        <v>3</v>
      </c>
      <c r="B8" s="4" t="s">
        <v>43</v>
      </c>
      <c r="C8" s="4" t="s">
        <v>44</v>
      </c>
      <c r="D8" s="4" t="s">
        <v>45</v>
      </c>
      <c r="E8" s="4" t="s">
        <v>46</v>
      </c>
    </row>
    <row r="9" spans="1:5" ht="15.75" customHeight="1" x14ac:dyDescent="0.25">
      <c r="A9" s="12">
        <v>3.1</v>
      </c>
      <c r="B9" s="4" t="s">
        <v>47</v>
      </c>
      <c r="C9" s="4" t="s">
        <v>44</v>
      </c>
      <c r="D9" s="12" t="s">
        <v>48</v>
      </c>
      <c r="E9" s="4" t="s">
        <v>49</v>
      </c>
    </row>
    <row r="10" spans="1:5" ht="15.75" customHeight="1" x14ac:dyDescent="0.25">
      <c r="A10" s="12">
        <v>4</v>
      </c>
      <c r="B10" s="4" t="s">
        <v>51</v>
      </c>
      <c r="C10" s="4" t="s">
        <v>52</v>
      </c>
      <c r="D10" s="12" t="s">
        <v>53</v>
      </c>
      <c r="E10" s="4" t="s">
        <v>54</v>
      </c>
    </row>
    <row r="11" spans="1:5" ht="15.75" customHeight="1" x14ac:dyDescent="0.25">
      <c r="A11" s="12">
        <v>5</v>
      </c>
      <c r="B11" s="4" t="s">
        <v>55</v>
      </c>
      <c r="C11" s="4" t="s">
        <v>56</v>
      </c>
      <c r="D11" s="4" t="s">
        <v>57</v>
      </c>
      <c r="E11" s="4" t="s">
        <v>58</v>
      </c>
    </row>
    <row r="12" spans="1:5" ht="15.75" customHeight="1" x14ac:dyDescent="0.25">
      <c r="A12" s="12">
        <v>6</v>
      </c>
      <c r="B12" s="4" t="s">
        <v>59</v>
      </c>
      <c r="C12" s="4" t="s">
        <v>60</v>
      </c>
      <c r="D12" s="4" t="s">
        <v>61</v>
      </c>
      <c r="E12" s="12" t="s">
        <v>62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3"/>
  <sheetViews>
    <sheetView zoomScale="80" zoomScaleNormal="80" workbookViewId="0">
      <selection activeCell="F1" sqref="F1"/>
    </sheetView>
  </sheetViews>
  <sheetFormatPr baseColWidth="10" defaultRowHeight="12.75" x14ac:dyDescent="0.2"/>
  <cols>
    <col min="1" max="1" width="6.140625" customWidth="1"/>
    <col min="2" max="2" width="7.85546875" bestFit="1" customWidth="1"/>
    <col min="3" max="3" width="152.140625" bestFit="1" customWidth="1"/>
    <col min="4" max="4" width="12.85546875" bestFit="1" customWidth="1"/>
    <col min="5" max="5" width="11.5703125" bestFit="1" customWidth="1"/>
    <col min="6" max="6" width="11.28515625" bestFit="1" customWidth="1"/>
    <col min="7" max="7" width="50.7109375" bestFit="1" customWidth="1"/>
  </cols>
  <sheetData>
    <row r="1" spans="1:7" ht="16.5" thickBot="1" x14ac:dyDescent="0.3">
      <c r="A1" s="39" t="s">
        <v>105</v>
      </c>
      <c r="B1" s="39" t="s">
        <v>106</v>
      </c>
      <c r="C1" s="39" t="s">
        <v>107</v>
      </c>
      <c r="D1" s="39" t="s">
        <v>108</v>
      </c>
      <c r="E1" s="39" t="s">
        <v>22</v>
      </c>
      <c r="F1" s="39" t="s">
        <v>23</v>
      </c>
      <c r="G1" s="36"/>
    </row>
    <row r="2" spans="1:7" ht="16.5" thickBot="1" x14ac:dyDescent="0.3">
      <c r="A2" s="37" t="s">
        <v>109</v>
      </c>
      <c r="B2" s="37">
        <v>1</v>
      </c>
      <c r="C2" s="37" t="s">
        <v>110</v>
      </c>
      <c r="D2" s="37" t="s">
        <v>111</v>
      </c>
      <c r="E2" s="38">
        <v>46213</v>
      </c>
      <c r="F2" s="38">
        <v>46219</v>
      </c>
      <c r="G2" s="36"/>
    </row>
    <row r="3" spans="1:7" ht="16.5" thickBot="1" x14ac:dyDescent="0.3">
      <c r="A3" s="37"/>
      <c r="B3" s="37"/>
      <c r="C3" s="37" t="s">
        <v>112</v>
      </c>
      <c r="D3" s="37"/>
      <c r="E3" s="38"/>
      <c r="F3" s="38"/>
      <c r="G3" s="36"/>
    </row>
    <row r="4" spans="1:7" ht="16.5" thickBot="1" x14ac:dyDescent="0.3">
      <c r="A4" s="37" t="s">
        <v>109</v>
      </c>
      <c r="B4" s="37">
        <v>2</v>
      </c>
      <c r="C4" s="37" t="s">
        <v>113</v>
      </c>
      <c r="D4" s="37" t="s">
        <v>111</v>
      </c>
      <c r="E4" s="38">
        <v>46220</v>
      </c>
      <c r="F4" s="38">
        <v>46226</v>
      </c>
      <c r="G4" s="36"/>
    </row>
    <row r="5" spans="1:7" ht="16.5" thickBot="1" x14ac:dyDescent="0.3">
      <c r="A5" s="37"/>
      <c r="B5" s="37"/>
      <c r="C5" s="37" t="s">
        <v>114</v>
      </c>
      <c r="D5" s="37"/>
      <c r="E5" s="38"/>
      <c r="F5" s="38"/>
      <c r="G5" s="36"/>
    </row>
    <row r="6" spans="1:7" ht="16.5" thickBot="1" x14ac:dyDescent="0.3">
      <c r="A6" s="37" t="s">
        <v>115</v>
      </c>
      <c r="B6" s="37">
        <v>3</v>
      </c>
      <c r="C6" s="37" t="s">
        <v>116</v>
      </c>
      <c r="D6" s="37" t="s">
        <v>111</v>
      </c>
      <c r="E6" s="38">
        <v>46227</v>
      </c>
      <c r="F6" s="38">
        <v>46233</v>
      </c>
      <c r="G6" s="36"/>
    </row>
    <row r="7" spans="1:7" ht="16.5" thickBot="1" x14ac:dyDescent="0.3">
      <c r="A7" s="37"/>
      <c r="B7" s="37"/>
      <c r="C7" s="37" t="s">
        <v>112</v>
      </c>
      <c r="D7" s="37"/>
      <c r="E7" s="38"/>
      <c r="F7" s="38"/>
      <c r="G7" s="36"/>
    </row>
    <row r="8" spans="1:7" ht="16.5" thickBot="1" x14ac:dyDescent="0.3">
      <c r="A8" s="37" t="s">
        <v>115</v>
      </c>
      <c r="B8" s="37">
        <v>4</v>
      </c>
      <c r="C8" s="37" t="s">
        <v>117</v>
      </c>
      <c r="D8" s="37" t="s">
        <v>111</v>
      </c>
      <c r="E8" s="38">
        <v>46234</v>
      </c>
      <c r="F8" s="38">
        <v>46240</v>
      </c>
      <c r="G8" s="36"/>
    </row>
    <row r="9" spans="1:7" ht="16.5" thickBot="1" x14ac:dyDescent="0.3">
      <c r="A9" s="37"/>
      <c r="B9" s="37"/>
      <c r="C9" s="37" t="s">
        <v>114</v>
      </c>
      <c r="D9" s="37"/>
      <c r="E9" s="38"/>
      <c r="F9" s="38"/>
      <c r="G9" s="36"/>
    </row>
    <row r="10" spans="1:7" ht="16.5" thickBot="1" x14ac:dyDescent="0.3">
      <c r="A10" s="37" t="s">
        <v>118</v>
      </c>
      <c r="B10" s="37">
        <v>5</v>
      </c>
      <c r="C10" s="37" t="s">
        <v>119</v>
      </c>
      <c r="D10" s="37" t="s">
        <v>111</v>
      </c>
      <c r="E10" s="38">
        <v>46241</v>
      </c>
      <c r="F10" s="38">
        <v>46247</v>
      </c>
      <c r="G10" s="36"/>
    </row>
    <row r="11" spans="1:7" ht="16.5" thickBot="1" x14ac:dyDescent="0.3">
      <c r="A11" s="37"/>
      <c r="B11" s="37"/>
      <c r="C11" s="37" t="s">
        <v>112</v>
      </c>
      <c r="D11" s="37"/>
      <c r="E11" s="38"/>
      <c r="F11" s="38"/>
      <c r="G11" s="36"/>
    </row>
    <row r="12" spans="1:7" ht="16.5" thickBot="1" x14ac:dyDescent="0.3">
      <c r="A12" s="37" t="s">
        <v>118</v>
      </c>
      <c r="B12" s="37">
        <v>6</v>
      </c>
      <c r="C12" s="37" t="s">
        <v>120</v>
      </c>
      <c r="D12" s="37" t="s">
        <v>111</v>
      </c>
      <c r="E12" s="38">
        <v>46248</v>
      </c>
      <c r="F12" s="38">
        <v>46254</v>
      </c>
      <c r="G12" s="36"/>
    </row>
    <row r="13" spans="1:7" ht="16.5" thickBot="1" x14ac:dyDescent="0.3">
      <c r="A13" s="37"/>
      <c r="B13" s="37"/>
      <c r="C13" s="37" t="s">
        <v>114</v>
      </c>
      <c r="D13" s="37"/>
      <c r="E13" s="38"/>
      <c r="F13" s="38"/>
      <c r="G13" s="36"/>
    </row>
    <row r="14" spans="1:7" ht="16.5" thickBot="1" x14ac:dyDescent="0.3">
      <c r="A14" s="37" t="s">
        <v>121</v>
      </c>
      <c r="B14" s="37">
        <v>7</v>
      </c>
      <c r="C14" s="37" t="s">
        <v>122</v>
      </c>
      <c r="D14" s="37" t="s">
        <v>111</v>
      </c>
      <c r="E14" s="38">
        <v>46255</v>
      </c>
      <c r="F14" s="38">
        <v>46261</v>
      </c>
      <c r="G14" s="36"/>
    </row>
    <row r="15" spans="1:7" ht="16.5" thickBot="1" x14ac:dyDescent="0.3">
      <c r="A15" s="37"/>
      <c r="B15" s="37"/>
      <c r="C15" s="37" t="s">
        <v>112</v>
      </c>
      <c r="D15" s="37"/>
      <c r="E15" s="38"/>
      <c r="F15" s="38"/>
      <c r="G15" s="36"/>
    </row>
    <row r="16" spans="1:7" ht="16.5" thickBot="1" x14ac:dyDescent="0.3">
      <c r="A16" s="37" t="s">
        <v>121</v>
      </c>
      <c r="B16" s="37">
        <v>8</v>
      </c>
      <c r="C16" s="37" t="s">
        <v>123</v>
      </c>
      <c r="D16" s="37" t="s">
        <v>111</v>
      </c>
      <c r="E16" s="38">
        <v>46262</v>
      </c>
      <c r="F16" s="38">
        <v>46268</v>
      </c>
      <c r="G16" s="36"/>
    </row>
    <row r="17" spans="1:7" ht="16.5" thickBot="1" x14ac:dyDescent="0.3">
      <c r="A17" s="37"/>
      <c r="B17" s="37"/>
      <c r="C17" s="37" t="s">
        <v>114</v>
      </c>
      <c r="D17" s="37"/>
      <c r="E17" s="38"/>
      <c r="F17" s="38"/>
      <c r="G17" s="36"/>
    </row>
    <row r="18" spans="1:7" ht="16.5" thickBot="1" x14ac:dyDescent="0.3">
      <c r="A18" s="37" t="s">
        <v>124</v>
      </c>
      <c r="B18" s="37">
        <v>9</v>
      </c>
      <c r="C18" s="37" t="s">
        <v>125</v>
      </c>
      <c r="D18" s="37" t="s">
        <v>111</v>
      </c>
      <c r="E18" s="38">
        <v>46269</v>
      </c>
      <c r="F18" s="38">
        <v>46275</v>
      </c>
      <c r="G18" s="36"/>
    </row>
    <row r="19" spans="1:7" ht="16.5" thickBot="1" x14ac:dyDescent="0.3">
      <c r="A19" s="37"/>
      <c r="B19" s="37"/>
      <c r="C19" s="37" t="s">
        <v>112</v>
      </c>
      <c r="D19" s="37"/>
      <c r="E19" s="38"/>
      <c r="F19" s="38"/>
      <c r="G19" s="36"/>
    </row>
    <row r="20" spans="1:7" ht="16.5" thickBot="1" x14ac:dyDescent="0.3">
      <c r="A20" s="37" t="s">
        <v>124</v>
      </c>
      <c r="B20" s="37">
        <v>10</v>
      </c>
      <c r="C20" s="37" t="s">
        <v>126</v>
      </c>
      <c r="D20" s="37" t="s">
        <v>111</v>
      </c>
      <c r="E20" s="38">
        <v>46276</v>
      </c>
      <c r="F20" s="38">
        <v>46282</v>
      </c>
      <c r="G20" s="36"/>
    </row>
    <row r="21" spans="1:7" ht="16.5" thickBot="1" x14ac:dyDescent="0.3">
      <c r="A21" s="37"/>
      <c r="B21" s="37"/>
      <c r="C21" s="37" t="s">
        <v>114</v>
      </c>
      <c r="D21" s="37"/>
      <c r="E21" s="38"/>
      <c r="F21" s="38"/>
      <c r="G21" s="36"/>
    </row>
    <row r="22" spans="1:7" ht="16.5" thickBot="1" x14ac:dyDescent="0.3">
      <c r="A22" s="37" t="s">
        <v>127</v>
      </c>
      <c r="B22" s="37">
        <v>11</v>
      </c>
      <c r="C22" s="37" t="s">
        <v>128</v>
      </c>
      <c r="D22" s="37" t="s">
        <v>111</v>
      </c>
      <c r="E22" s="38">
        <v>46283</v>
      </c>
      <c r="F22" s="38">
        <v>46289</v>
      </c>
      <c r="G22" s="36"/>
    </row>
    <row r="23" spans="1:7" ht="16.5" thickBot="1" x14ac:dyDescent="0.3">
      <c r="A23" s="37"/>
      <c r="B23" s="37"/>
      <c r="C23" s="37" t="s">
        <v>112</v>
      </c>
      <c r="D23" s="37"/>
      <c r="E23" s="38"/>
      <c r="F23" s="38"/>
      <c r="G23" s="36"/>
    </row>
    <row r="24" spans="1:7" ht="16.5" thickBot="1" x14ac:dyDescent="0.3">
      <c r="A24" s="37" t="s">
        <v>127</v>
      </c>
      <c r="B24" s="37">
        <v>12</v>
      </c>
      <c r="C24" s="37" t="s">
        <v>129</v>
      </c>
      <c r="D24" s="37" t="s">
        <v>111</v>
      </c>
      <c r="E24" s="38">
        <v>46290</v>
      </c>
      <c r="F24" s="38">
        <v>46296</v>
      </c>
      <c r="G24" s="36"/>
    </row>
    <row r="25" spans="1:7" ht="16.5" thickBot="1" x14ac:dyDescent="0.3">
      <c r="A25" s="37"/>
      <c r="B25" s="37"/>
      <c r="C25" s="37" t="s">
        <v>114</v>
      </c>
      <c r="D25" s="37"/>
      <c r="E25" s="38"/>
      <c r="F25" s="38"/>
      <c r="G25" s="36"/>
    </row>
    <row r="26" spans="1:7" ht="16.5" thickBot="1" x14ac:dyDescent="0.3">
      <c r="A26" s="37" t="s">
        <v>130</v>
      </c>
      <c r="B26" s="37">
        <v>13</v>
      </c>
      <c r="C26" s="37" t="s">
        <v>131</v>
      </c>
      <c r="D26" s="37" t="s">
        <v>111</v>
      </c>
      <c r="E26" s="38">
        <v>46297</v>
      </c>
      <c r="F26" s="38">
        <v>46303</v>
      </c>
      <c r="G26" s="36"/>
    </row>
    <row r="27" spans="1:7" ht="16.5" thickBot="1" x14ac:dyDescent="0.3">
      <c r="A27" s="37"/>
      <c r="B27" s="37"/>
      <c r="C27" s="37" t="s">
        <v>112</v>
      </c>
      <c r="D27" s="37"/>
      <c r="E27" s="38"/>
      <c r="F27" s="38"/>
      <c r="G27" s="36"/>
    </row>
    <row r="28" spans="1:7" ht="16.5" thickBot="1" x14ac:dyDescent="0.3">
      <c r="A28" s="37" t="s">
        <v>130</v>
      </c>
      <c r="B28" s="37">
        <v>14</v>
      </c>
      <c r="C28" s="37" t="s">
        <v>132</v>
      </c>
      <c r="D28" s="37" t="s">
        <v>111</v>
      </c>
      <c r="E28" s="38">
        <v>46304</v>
      </c>
      <c r="F28" s="38">
        <v>46310</v>
      </c>
      <c r="G28" s="36"/>
    </row>
    <row r="29" spans="1:7" ht="16.5" thickBot="1" x14ac:dyDescent="0.3">
      <c r="A29" s="37"/>
      <c r="B29" s="37"/>
      <c r="C29" s="37" t="s">
        <v>114</v>
      </c>
      <c r="D29" s="37"/>
      <c r="E29" s="38"/>
      <c r="F29" s="38"/>
      <c r="G29" s="36"/>
    </row>
    <row r="30" spans="1:7" ht="16.5" thickBot="1" x14ac:dyDescent="0.3">
      <c r="A30" s="37" t="s">
        <v>133</v>
      </c>
      <c r="B30" s="37">
        <v>15</v>
      </c>
      <c r="C30" s="37" t="s">
        <v>134</v>
      </c>
      <c r="D30" s="37" t="s">
        <v>111</v>
      </c>
      <c r="E30" s="38">
        <v>46311</v>
      </c>
      <c r="F30" s="38">
        <v>46317</v>
      </c>
      <c r="G30" s="36"/>
    </row>
    <row r="31" spans="1:7" ht="16.5" thickBot="1" x14ac:dyDescent="0.3">
      <c r="A31" s="37"/>
      <c r="B31" s="37"/>
      <c r="C31" s="37" t="s">
        <v>112</v>
      </c>
      <c r="D31" s="37"/>
      <c r="E31" s="38"/>
      <c r="F31" s="38"/>
      <c r="G31" s="36"/>
    </row>
    <row r="32" spans="1:7" ht="16.5" thickBot="1" x14ac:dyDescent="0.3">
      <c r="A32" s="37" t="s">
        <v>133</v>
      </c>
      <c r="B32" s="37">
        <v>16</v>
      </c>
      <c r="C32" s="37" t="s">
        <v>135</v>
      </c>
      <c r="D32" s="37" t="s">
        <v>111</v>
      </c>
      <c r="E32" s="38">
        <v>46318</v>
      </c>
      <c r="F32" s="38">
        <v>46325</v>
      </c>
      <c r="G32" s="36"/>
    </row>
    <row r="33" spans="3:3" ht="15.75" x14ac:dyDescent="0.25">
      <c r="C33" s="37" t="s">
        <v>114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workbookViewId="0">
      <selection activeCell="L2" sqref="L2"/>
    </sheetView>
  </sheetViews>
  <sheetFormatPr baseColWidth="10" defaultColWidth="12.5703125" defaultRowHeight="15.75" customHeight="1" x14ac:dyDescent="0.2"/>
  <cols>
    <col min="1" max="1" width="8.140625" bestFit="1" customWidth="1"/>
    <col min="2" max="2" width="21.5703125" bestFit="1" customWidth="1"/>
    <col min="3" max="3" width="8.28515625" customWidth="1"/>
    <col min="4" max="4" width="16.5703125" bestFit="1" customWidth="1"/>
    <col min="5" max="5" width="14.7109375" bestFit="1" customWidth="1"/>
    <col min="6" max="6" width="23.28515625" bestFit="1" customWidth="1"/>
    <col min="7" max="7" width="4.5703125" customWidth="1"/>
    <col min="8" max="8" width="23.5703125" bestFit="1" customWidth="1"/>
  </cols>
  <sheetData>
    <row r="1" spans="1:26" ht="15.75" customHeight="1" x14ac:dyDescent="0.25">
      <c r="A1" s="13" t="s">
        <v>19</v>
      </c>
      <c r="B1" s="13" t="s">
        <v>63</v>
      </c>
      <c r="C1" s="13" t="s">
        <v>64</v>
      </c>
      <c r="D1" s="13" t="s">
        <v>65</v>
      </c>
      <c r="E1" s="13" t="s">
        <v>66</v>
      </c>
      <c r="F1" s="24" t="s">
        <v>67</v>
      </c>
      <c r="G1" s="13" t="s">
        <v>68</v>
      </c>
      <c r="H1" s="13" t="s">
        <v>69</v>
      </c>
      <c r="I1" s="14"/>
      <c r="J1" s="14"/>
      <c r="K1" s="14"/>
      <c r="L1" s="14"/>
      <c r="M1" s="14"/>
      <c r="N1" s="14"/>
      <c r="O1" s="14"/>
      <c r="P1" s="14"/>
      <c r="Q1" s="14"/>
      <c r="R1" s="14"/>
      <c r="S1" s="14"/>
      <c r="T1" s="14"/>
      <c r="U1" s="14"/>
      <c r="V1" s="14"/>
      <c r="W1" s="14"/>
      <c r="X1" s="14"/>
      <c r="Y1" s="14"/>
      <c r="Z1" s="14"/>
    </row>
    <row r="2" spans="1:26" ht="15.75" customHeight="1" x14ac:dyDescent="0.25">
      <c r="A2" s="15">
        <v>3.1</v>
      </c>
      <c r="B2" s="16" t="s">
        <v>70</v>
      </c>
      <c r="C2" s="15">
        <v>1</v>
      </c>
      <c r="D2" s="21">
        <v>8000000</v>
      </c>
      <c r="E2" s="21">
        <f>D2/G2</f>
        <v>53333.333333333336</v>
      </c>
      <c r="F2" s="25">
        <f>D2/F14</f>
        <v>7619.0476190476193</v>
      </c>
      <c r="G2" s="15">
        <v>150</v>
      </c>
      <c r="H2" s="23">
        <f>E2*G2</f>
        <v>8000000</v>
      </c>
      <c r="I2" s="14"/>
      <c r="J2" s="14"/>
      <c r="K2" s="14"/>
      <c r="L2" s="14"/>
      <c r="M2" s="14"/>
      <c r="N2" s="14"/>
      <c r="O2" s="14"/>
      <c r="P2" s="14"/>
      <c r="Q2" s="14"/>
      <c r="R2" s="14"/>
      <c r="S2" s="14"/>
      <c r="T2" s="14"/>
      <c r="U2" s="14"/>
      <c r="V2" s="14"/>
      <c r="W2" s="14"/>
      <c r="X2" s="14"/>
      <c r="Y2" s="14"/>
      <c r="Z2" s="14"/>
    </row>
    <row r="3" spans="1:26" ht="15.75" customHeight="1" x14ac:dyDescent="0.25">
      <c r="A3" s="15">
        <v>3.2</v>
      </c>
      <c r="B3" s="16" t="s">
        <v>71</v>
      </c>
      <c r="C3" s="15">
        <v>1</v>
      </c>
      <c r="D3" s="21">
        <v>7500000</v>
      </c>
      <c r="E3" s="21">
        <f t="shared" ref="E3:E6" si="0">D3/G3</f>
        <v>125000</v>
      </c>
      <c r="F3" s="25">
        <f t="shared" ref="F3:F6" si="1">D3/F15</f>
        <v>17857.142857142859</v>
      </c>
      <c r="G3" s="15">
        <v>60</v>
      </c>
      <c r="H3" s="23">
        <f t="shared" ref="H3:H6" si="2">E3*G3</f>
        <v>7500000</v>
      </c>
      <c r="I3" s="14"/>
      <c r="J3" s="14"/>
      <c r="K3" s="14"/>
      <c r="L3" s="14"/>
      <c r="M3" s="14"/>
      <c r="N3" s="14"/>
      <c r="O3" s="14"/>
      <c r="P3" s="14"/>
      <c r="Q3" s="14"/>
      <c r="R3" s="14"/>
      <c r="S3" s="14"/>
      <c r="T3" s="14"/>
      <c r="U3" s="14"/>
      <c r="V3" s="14"/>
      <c r="W3" s="14"/>
      <c r="X3" s="14"/>
      <c r="Y3" s="14"/>
      <c r="Z3" s="14"/>
    </row>
    <row r="4" spans="1:26" ht="15.75" customHeight="1" x14ac:dyDescent="0.25">
      <c r="A4" s="15">
        <v>3.3</v>
      </c>
      <c r="B4" s="16" t="s">
        <v>72</v>
      </c>
      <c r="C4" s="15">
        <v>1</v>
      </c>
      <c r="D4" s="21">
        <v>6000000</v>
      </c>
      <c r="E4" s="21">
        <f t="shared" si="0"/>
        <v>50000</v>
      </c>
      <c r="F4" s="25">
        <f t="shared" si="1"/>
        <v>7142.8571428571431</v>
      </c>
      <c r="G4" s="15">
        <v>120</v>
      </c>
      <c r="H4" s="23">
        <f t="shared" si="2"/>
        <v>6000000</v>
      </c>
      <c r="I4" s="14"/>
      <c r="J4" s="14"/>
      <c r="K4" s="14"/>
      <c r="L4" s="14"/>
      <c r="M4" s="14"/>
      <c r="N4" s="14"/>
      <c r="O4" s="14"/>
      <c r="P4" s="14"/>
      <c r="Q4" s="14"/>
      <c r="R4" s="14"/>
      <c r="S4" s="14"/>
      <c r="T4" s="14"/>
      <c r="U4" s="14"/>
      <c r="V4" s="14"/>
      <c r="W4" s="14"/>
      <c r="X4" s="14"/>
      <c r="Y4" s="14"/>
      <c r="Z4" s="14"/>
    </row>
    <row r="5" spans="1:26" ht="15.75" customHeight="1" x14ac:dyDescent="0.25">
      <c r="A5" s="15">
        <v>3.4</v>
      </c>
      <c r="B5" s="16" t="s">
        <v>52</v>
      </c>
      <c r="C5" s="15">
        <v>1</v>
      </c>
      <c r="D5" s="21">
        <v>6500000</v>
      </c>
      <c r="E5" s="21">
        <f t="shared" si="0"/>
        <v>30952.380952380954</v>
      </c>
      <c r="F5" s="25">
        <f t="shared" si="1"/>
        <v>4421.7687074829928</v>
      </c>
      <c r="G5" s="15">
        <v>210</v>
      </c>
      <c r="H5" s="23">
        <f t="shared" si="2"/>
        <v>6500000</v>
      </c>
      <c r="I5" s="14"/>
      <c r="J5" s="14"/>
      <c r="K5" s="14"/>
      <c r="L5" s="14"/>
      <c r="M5" s="14"/>
      <c r="N5" s="14"/>
      <c r="O5" s="14"/>
      <c r="P5" s="14"/>
      <c r="Q5" s="14"/>
      <c r="R5" s="14"/>
      <c r="S5" s="14"/>
      <c r="T5" s="14"/>
      <c r="U5" s="14"/>
      <c r="V5" s="14"/>
      <c r="W5" s="14"/>
      <c r="X5" s="14"/>
      <c r="Y5" s="14"/>
      <c r="Z5" s="14"/>
    </row>
    <row r="6" spans="1:26" ht="15.75" customHeight="1" x14ac:dyDescent="0.25">
      <c r="A6" s="15">
        <v>3.5</v>
      </c>
      <c r="B6" s="16" t="s">
        <v>56</v>
      </c>
      <c r="C6" s="15">
        <v>1</v>
      </c>
      <c r="D6" s="21">
        <v>4500000</v>
      </c>
      <c r="E6" s="21">
        <f t="shared" si="0"/>
        <v>60000</v>
      </c>
      <c r="F6" s="25">
        <f t="shared" si="1"/>
        <v>1045.2961672473868</v>
      </c>
      <c r="G6" s="15">
        <v>75</v>
      </c>
      <c r="H6" s="23">
        <f t="shared" si="2"/>
        <v>4500000</v>
      </c>
      <c r="I6" s="14"/>
      <c r="J6" s="14"/>
      <c r="K6" s="14"/>
      <c r="L6" s="14"/>
      <c r="M6" s="14"/>
      <c r="N6" s="14"/>
      <c r="O6" s="14"/>
      <c r="P6" s="14"/>
      <c r="Q6" s="14"/>
      <c r="R6" s="14"/>
      <c r="S6" s="14"/>
      <c r="T6" s="14"/>
      <c r="U6" s="14"/>
      <c r="V6" s="14"/>
      <c r="W6" s="14"/>
      <c r="X6" s="14"/>
      <c r="Y6" s="14"/>
      <c r="Z6" s="14"/>
    </row>
    <row r="7" spans="1:26" ht="15.75" customHeight="1" x14ac:dyDescent="0.25">
      <c r="A7" s="16" t="s">
        <v>73</v>
      </c>
      <c r="B7" s="7" t="s">
        <v>74</v>
      </c>
      <c r="C7" s="14" t="s">
        <v>75</v>
      </c>
      <c r="D7" s="14" t="s">
        <v>75</v>
      </c>
      <c r="E7" s="14" t="s">
        <v>75</v>
      </c>
      <c r="F7" s="14" t="s">
        <v>75</v>
      </c>
      <c r="G7" s="15">
        <v>615</v>
      </c>
      <c r="H7" s="23">
        <f>SUM(H2:H6)</f>
        <v>32500000</v>
      </c>
      <c r="I7" s="14"/>
      <c r="J7" s="14"/>
      <c r="K7" s="14"/>
      <c r="L7" s="14"/>
      <c r="M7" s="14"/>
      <c r="N7" s="14"/>
      <c r="O7" s="14"/>
      <c r="P7" s="14"/>
      <c r="Q7" s="14"/>
      <c r="R7" s="14"/>
      <c r="S7" s="14"/>
      <c r="T7" s="14"/>
      <c r="U7" s="14"/>
      <c r="V7" s="14"/>
      <c r="W7" s="14"/>
      <c r="X7" s="14"/>
      <c r="Y7" s="14"/>
      <c r="Z7" s="14"/>
    </row>
    <row r="8" spans="1:26" ht="15.75" customHeight="1" x14ac:dyDescent="0.25">
      <c r="A8" s="14"/>
      <c r="B8" s="14"/>
      <c r="C8" s="14"/>
      <c r="D8" s="14"/>
      <c r="E8" s="14"/>
      <c r="F8" s="14"/>
      <c r="G8" s="14"/>
      <c r="H8" s="14"/>
      <c r="I8" s="14"/>
      <c r="J8" s="14"/>
      <c r="K8" s="14"/>
      <c r="L8" s="14"/>
      <c r="M8" s="14"/>
      <c r="N8" s="14"/>
      <c r="O8" s="14"/>
      <c r="P8" s="14"/>
      <c r="Q8" s="14"/>
      <c r="R8" s="14"/>
      <c r="S8" s="14"/>
      <c r="T8" s="14"/>
      <c r="U8" s="14"/>
      <c r="V8" s="14"/>
      <c r="W8" s="14"/>
      <c r="X8" s="14"/>
      <c r="Y8" s="14"/>
      <c r="Z8" s="14"/>
    </row>
    <row r="9" spans="1:26" ht="15.75" customHeight="1" x14ac:dyDescent="0.25">
      <c r="A9" s="14"/>
      <c r="B9" s="14"/>
      <c r="C9" s="14"/>
      <c r="D9" s="14"/>
      <c r="E9" s="14"/>
      <c r="F9" s="14"/>
      <c r="G9" s="14"/>
      <c r="H9" s="14"/>
      <c r="I9" s="14"/>
      <c r="J9" s="14"/>
      <c r="K9" s="14"/>
      <c r="L9" s="14"/>
      <c r="M9" s="14"/>
      <c r="N9" s="14"/>
      <c r="O9" s="14"/>
      <c r="P9" s="14"/>
      <c r="Q9" s="14"/>
      <c r="R9" s="14"/>
      <c r="S9" s="14"/>
      <c r="T9" s="14"/>
      <c r="U9" s="14"/>
      <c r="V9" s="14"/>
      <c r="W9" s="14"/>
      <c r="X9" s="14"/>
      <c r="Y9" s="14"/>
      <c r="Z9" s="14"/>
    </row>
    <row r="10" spans="1:26" ht="15.75" customHeight="1" x14ac:dyDescent="0.25">
      <c r="A10" s="14"/>
      <c r="B10" s="14"/>
      <c r="C10" s="14"/>
      <c r="D10" s="14"/>
      <c r="E10" s="14"/>
      <c r="F10" s="14"/>
      <c r="G10" s="14"/>
      <c r="H10" s="14"/>
      <c r="I10" s="14"/>
      <c r="J10" s="14"/>
      <c r="K10" s="14"/>
      <c r="L10" s="14"/>
      <c r="M10" s="14"/>
      <c r="N10" s="14"/>
      <c r="O10" s="14"/>
      <c r="P10" s="14"/>
      <c r="Q10" s="14"/>
      <c r="R10" s="14"/>
      <c r="S10" s="14"/>
      <c r="T10" s="14"/>
      <c r="U10" s="14"/>
      <c r="V10" s="14"/>
      <c r="W10" s="14"/>
      <c r="X10" s="14"/>
      <c r="Y10" s="14"/>
      <c r="Z10" s="14"/>
    </row>
    <row r="11" spans="1:26" ht="15.75" customHeight="1" x14ac:dyDescent="0.25">
      <c r="A11" s="14"/>
      <c r="B11" s="14"/>
      <c r="C11" s="14"/>
      <c r="D11" s="14"/>
      <c r="E11" s="14"/>
      <c r="F11" s="14"/>
      <c r="G11" s="14"/>
      <c r="H11" s="14"/>
      <c r="I11" s="14"/>
      <c r="J11" s="14"/>
      <c r="K11" s="14"/>
      <c r="L11" s="14"/>
      <c r="M11" s="14"/>
      <c r="N11" s="14"/>
      <c r="O11" s="14"/>
      <c r="P11" s="14"/>
      <c r="Q11" s="14"/>
      <c r="R11" s="14"/>
      <c r="S11" s="14"/>
      <c r="T11" s="14"/>
      <c r="U11" s="14"/>
      <c r="V11" s="14"/>
      <c r="W11" s="14"/>
      <c r="X11" s="14"/>
      <c r="Y11" s="14"/>
      <c r="Z11" s="14"/>
    </row>
    <row r="12" spans="1:26" ht="15.75" customHeight="1" x14ac:dyDescent="0.25">
      <c r="A12" s="14"/>
      <c r="B12" s="14"/>
      <c r="C12" s="14"/>
      <c r="D12" s="14"/>
      <c r="E12" s="14"/>
      <c r="F12" s="28" t="s">
        <v>99</v>
      </c>
      <c r="G12" s="14"/>
      <c r="H12" s="26" t="s">
        <v>103</v>
      </c>
      <c r="I12" s="14"/>
      <c r="J12" s="14"/>
      <c r="K12" s="14"/>
      <c r="L12" s="14"/>
      <c r="M12" s="14"/>
      <c r="N12" s="14"/>
      <c r="O12" s="14"/>
      <c r="P12" s="14"/>
      <c r="Q12" s="14"/>
      <c r="R12" s="14"/>
      <c r="S12" s="14"/>
      <c r="T12" s="14"/>
      <c r="U12" s="14"/>
      <c r="V12" s="14"/>
      <c r="W12" s="14"/>
      <c r="X12" s="14"/>
      <c r="Y12" s="14"/>
      <c r="Z12" s="14"/>
    </row>
    <row r="13" spans="1:26" ht="15.75" customHeight="1" x14ac:dyDescent="0.25">
      <c r="A13" s="14"/>
      <c r="B13" s="14"/>
      <c r="C13" s="14"/>
      <c r="D13" s="14"/>
      <c r="E13" s="14"/>
      <c r="F13" s="27">
        <v>7</v>
      </c>
      <c r="G13" s="14"/>
      <c r="H13" s="26" t="s">
        <v>102</v>
      </c>
      <c r="I13" s="14"/>
      <c r="J13" s="14"/>
      <c r="K13" s="14"/>
      <c r="L13" s="14"/>
      <c r="M13" s="14"/>
      <c r="N13" s="14"/>
      <c r="O13" s="14"/>
      <c r="P13" s="14"/>
      <c r="Q13" s="14"/>
      <c r="R13" s="14"/>
      <c r="S13" s="14"/>
      <c r="T13" s="14"/>
      <c r="U13" s="14"/>
      <c r="V13" s="14"/>
      <c r="W13" s="14"/>
      <c r="X13" s="14"/>
      <c r="Y13" s="14"/>
      <c r="Z13" s="14"/>
    </row>
    <row r="14" spans="1:26" ht="15.75" customHeight="1" x14ac:dyDescent="0.25">
      <c r="A14" s="14"/>
      <c r="B14" s="14"/>
      <c r="C14" s="14"/>
      <c r="D14" s="14"/>
      <c r="E14" s="14"/>
      <c r="F14" s="27">
        <f>F13*G2</f>
        <v>1050</v>
      </c>
      <c r="G14" s="14"/>
      <c r="H14" s="26"/>
      <c r="I14" s="14"/>
      <c r="J14" s="14"/>
      <c r="K14" s="14"/>
      <c r="L14" s="14"/>
      <c r="M14" s="14"/>
      <c r="N14" s="14"/>
      <c r="O14" s="14"/>
      <c r="P14" s="14"/>
      <c r="Q14" s="14"/>
      <c r="R14" s="14"/>
      <c r="S14" s="14"/>
      <c r="T14" s="14"/>
      <c r="U14" s="14"/>
      <c r="V14" s="14"/>
      <c r="W14" s="14"/>
      <c r="X14" s="14"/>
      <c r="Y14" s="14"/>
      <c r="Z14" s="14"/>
    </row>
    <row r="15" spans="1:26" ht="15.75" customHeight="1" x14ac:dyDescent="0.25">
      <c r="A15" s="14"/>
      <c r="B15" s="14"/>
      <c r="C15" s="14"/>
      <c r="D15" s="14"/>
      <c r="E15" s="14"/>
      <c r="F15" s="27">
        <f>F13*G3</f>
        <v>420</v>
      </c>
      <c r="G15" s="14"/>
      <c r="H15" s="14"/>
      <c r="I15" s="14"/>
      <c r="J15" s="14"/>
      <c r="K15" s="14"/>
      <c r="L15" s="14"/>
      <c r="M15" s="14"/>
      <c r="N15" s="14"/>
      <c r="O15" s="14"/>
      <c r="P15" s="14"/>
      <c r="Q15" s="14"/>
      <c r="R15" s="14"/>
      <c r="S15" s="14"/>
      <c r="T15" s="14"/>
      <c r="U15" s="14"/>
      <c r="V15" s="14"/>
      <c r="W15" s="14"/>
      <c r="X15" s="14"/>
      <c r="Y15" s="14"/>
      <c r="Z15" s="14"/>
    </row>
    <row r="16" spans="1:26" ht="15.75" customHeight="1" x14ac:dyDescent="0.25">
      <c r="A16" s="14"/>
      <c r="B16" s="14"/>
      <c r="C16" s="14"/>
      <c r="D16" s="14"/>
      <c r="E16" s="14"/>
      <c r="F16" s="27">
        <f>F13*G4</f>
        <v>840</v>
      </c>
      <c r="G16" s="14"/>
      <c r="H16" s="26" t="s">
        <v>104</v>
      </c>
      <c r="I16" s="14"/>
      <c r="J16" s="14"/>
      <c r="K16" s="14"/>
      <c r="L16" s="14"/>
      <c r="M16" s="14"/>
      <c r="N16" s="14"/>
      <c r="O16" s="14"/>
      <c r="P16" s="14"/>
      <c r="Q16" s="14"/>
      <c r="R16" s="14"/>
      <c r="S16" s="14"/>
      <c r="T16" s="14"/>
      <c r="U16" s="14"/>
      <c r="V16" s="14"/>
      <c r="W16" s="14"/>
      <c r="X16" s="14"/>
      <c r="Y16" s="14"/>
      <c r="Z16" s="14"/>
    </row>
    <row r="17" spans="1:26" ht="15.75" customHeight="1" x14ac:dyDescent="0.25">
      <c r="A17" s="14"/>
      <c r="B17" s="14"/>
      <c r="C17" s="14"/>
      <c r="D17" s="14"/>
      <c r="E17" s="14"/>
      <c r="F17" s="27">
        <f>F13*G5</f>
        <v>1470</v>
      </c>
      <c r="G17" s="14"/>
      <c r="H17" s="14"/>
      <c r="I17" s="14"/>
      <c r="J17" s="14"/>
      <c r="K17" s="14"/>
      <c r="L17" s="14"/>
      <c r="M17" s="14"/>
      <c r="N17" s="14"/>
      <c r="O17" s="14"/>
      <c r="P17" s="14"/>
      <c r="Q17" s="14"/>
      <c r="R17" s="14"/>
      <c r="S17" s="14"/>
      <c r="T17" s="14"/>
      <c r="U17" s="14"/>
      <c r="V17" s="14"/>
      <c r="W17" s="14"/>
      <c r="X17" s="14"/>
      <c r="Y17" s="14"/>
      <c r="Z17" s="14"/>
    </row>
    <row r="18" spans="1:26" ht="15.75" customHeight="1" x14ac:dyDescent="0.25">
      <c r="A18" s="14"/>
      <c r="B18" s="14"/>
      <c r="C18" s="14"/>
      <c r="D18" s="14"/>
      <c r="E18" s="14"/>
      <c r="F18" s="27">
        <f>F13*G7</f>
        <v>4305</v>
      </c>
      <c r="G18" s="14"/>
      <c r="H18" s="14"/>
      <c r="I18" s="14"/>
      <c r="J18" s="14"/>
      <c r="K18" s="14"/>
      <c r="L18" s="14"/>
      <c r="M18" s="14"/>
      <c r="N18" s="14"/>
      <c r="O18" s="14"/>
      <c r="P18" s="14"/>
      <c r="Q18" s="14"/>
      <c r="R18" s="14"/>
      <c r="S18" s="14"/>
      <c r="T18" s="14"/>
      <c r="U18" s="14"/>
      <c r="V18" s="14"/>
      <c r="W18" s="14"/>
      <c r="X18" s="14"/>
      <c r="Y18" s="14"/>
      <c r="Z18" s="14"/>
    </row>
    <row r="19" spans="1:26" ht="15.75" customHeight="1" x14ac:dyDescent="0.25">
      <c r="A19" s="14"/>
      <c r="B19" s="14"/>
      <c r="C19" s="14"/>
      <c r="D19" s="14"/>
      <c r="E19" s="14"/>
      <c r="F19" s="14"/>
      <c r="G19" s="14"/>
      <c r="H19" s="14"/>
      <c r="I19" s="14"/>
      <c r="J19" s="14"/>
      <c r="K19" s="14"/>
      <c r="L19" s="14"/>
      <c r="M19" s="14"/>
      <c r="N19" s="14"/>
      <c r="O19" s="14"/>
      <c r="P19" s="14"/>
      <c r="Q19" s="14"/>
      <c r="R19" s="14"/>
      <c r="S19" s="14"/>
      <c r="T19" s="14"/>
      <c r="U19" s="14"/>
      <c r="V19" s="14"/>
      <c r="W19" s="14"/>
      <c r="X19" s="14"/>
      <c r="Y19" s="14"/>
      <c r="Z19" s="14"/>
    </row>
    <row r="20" spans="1:26" ht="15.75" customHeight="1" x14ac:dyDescent="0.25">
      <c r="A20" s="14"/>
      <c r="B20" s="14"/>
      <c r="C20" s="14"/>
      <c r="D20" s="14"/>
      <c r="E20" s="14"/>
      <c r="F20" s="14"/>
      <c r="G20" s="14"/>
      <c r="H20" s="14"/>
      <c r="I20" s="14"/>
      <c r="J20" s="14"/>
      <c r="K20" s="14"/>
      <c r="L20" s="14"/>
      <c r="M20" s="14"/>
      <c r="N20" s="14"/>
      <c r="O20" s="14"/>
      <c r="P20" s="14"/>
      <c r="Q20" s="14"/>
      <c r="R20" s="14"/>
      <c r="S20" s="14"/>
      <c r="T20" s="14"/>
      <c r="U20" s="14"/>
      <c r="V20" s="14"/>
      <c r="W20" s="14"/>
      <c r="X20" s="14"/>
      <c r="Y20" s="14"/>
      <c r="Z20" s="14"/>
    </row>
    <row r="21" spans="1:26" ht="15.75" customHeight="1" x14ac:dyDescent="0.25">
      <c r="A21" s="14"/>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spans="1:26" ht="15.75" customHeight="1" x14ac:dyDescent="0.25">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spans="1:26" ht="15.75" customHeight="1" x14ac:dyDescent="0.25">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spans="1:26" x14ac:dyDescent="0.25">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spans="1:26" x14ac:dyDescent="0.25">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spans="1:26" x14ac:dyDescent="0.25">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spans="1:26" x14ac:dyDescent="0.25">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spans="1:26" x14ac:dyDescent="0.25">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spans="1:26" x14ac:dyDescent="0.25">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spans="1:26" x14ac:dyDescent="0.25">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spans="1:26" x14ac:dyDescent="0.25">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spans="1:26" x14ac:dyDescent="0.25">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spans="1:26" x14ac:dyDescent="0.25">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spans="1:26" x14ac:dyDescent="0.25">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spans="1:26" x14ac:dyDescent="0.2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spans="1:26" x14ac:dyDescent="0.25">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spans="1:26" x14ac:dyDescent="0.25">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spans="1:26" x14ac:dyDescent="0.25">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spans="1:26" x14ac:dyDescent="0.25">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spans="1:26" x14ac:dyDescent="0.25">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spans="1:26" x14ac:dyDescent="0.25">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spans="1:26" x14ac:dyDescent="0.25">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spans="1:26" x14ac:dyDescent="0.25">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spans="1:26" x14ac:dyDescent="0.25">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spans="1:26" x14ac:dyDescent="0.2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spans="1:26" x14ac:dyDescent="0.25">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spans="1:26" x14ac:dyDescent="0.25">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spans="1:26" x14ac:dyDescent="0.25">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spans="1:26" x14ac:dyDescent="0.25">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spans="1:26" x14ac:dyDescent="0.25">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spans="1:26" x14ac:dyDescent="0.25">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spans="1:26" x14ac:dyDescent="0.25">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spans="1:26" x14ac:dyDescent="0.25">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spans="1:26" x14ac:dyDescent="0.25">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spans="1:26" x14ac:dyDescent="0.2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spans="1:26" x14ac:dyDescent="0.25">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spans="1:26" x14ac:dyDescent="0.25">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spans="1:26" x14ac:dyDescent="0.25">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spans="1:26" x14ac:dyDescent="0.25">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spans="1:26" x14ac:dyDescent="0.25">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spans="1:26" x14ac:dyDescent="0.25">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spans="1:26" x14ac:dyDescent="0.25">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spans="1:26" x14ac:dyDescent="0.25">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spans="1:26" x14ac:dyDescent="0.25">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spans="1:26" x14ac:dyDescent="0.2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spans="1:26" x14ac:dyDescent="0.25">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spans="1:26" x14ac:dyDescent="0.25">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spans="1:26" x14ac:dyDescent="0.25">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spans="1:26" x14ac:dyDescent="0.25">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spans="1:26" x14ac:dyDescent="0.25">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spans="1:26" x14ac:dyDescent="0.25">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spans="1:26" x14ac:dyDescent="0.25">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spans="1:26" x14ac:dyDescent="0.25">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spans="1:26" x14ac:dyDescent="0.25">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spans="1:26" x14ac:dyDescent="0.2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spans="1:26" x14ac:dyDescent="0.25">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spans="1:26" x14ac:dyDescent="0.25">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spans="1:26" x14ac:dyDescent="0.25">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spans="1:26" x14ac:dyDescent="0.25">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spans="1:26" x14ac:dyDescent="0.25">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spans="1:26" x14ac:dyDescent="0.25">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spans="1:26" x14ac:dyDescent="0.25">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spans="1:26" x14ac:dyDescent="0.25">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spans="1:26" x14ac:dyDescent="0.25">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spans="1:26" x14ac:dyDescent="0.2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spans="1:26" x14ac:dyDescent="0.25">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spans="1:26" x14ac:dyDescent="0.25">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spans="1:26" x14ac:dyDescent="0.25">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spans="1:26" x14ac:dyDescent="0.25">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spans="1:26" x14ac:dyDescent="0.25">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spans="1:26" x14ac:dyDescent="0.25">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spans="1:26" x14ac:dyDescent="0.25">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spans="1:26" x14ac:dyDescent="0.25">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spans="1:26" x14ac:dyDescent="0.25">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spans="1:26" x14ac:dyDescent="0.2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spans="1:26" x14ac:dyDescent="0.25">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spans="1:26" x14ac:dyDescent="0.25">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spans="1:26" x14ac:dyDescent="0.25">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spans="1:26" x14ac:dyDescent="0.25">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spans="1:26" x14ac:dyDescent="0.25">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spans="1:26" x14ac:dyDescent="0.25">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spans="1:26" x14ac:dyDescent="0.25">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spans="1:26" x14ac:dyDescent="0.25">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spans="1:26" x14ac:dyDescent="0.25">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spans="1:26" x14ac:dyDescent="0.2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spans="1:26" x14ac:dyDescent="0.25">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spans="1:26" x14ac:dyDescent="0.25">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spans="1:26" x14ac:dyDescent="0.25">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spans="1:26" x14ac:dyDescent="0.25">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spans="1:26" x14ac:dyDescent="0.25">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spans="1:26" x14ac:dyDescent="0.25">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spans="1:26" x14ac:dyDescent="0.25">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spans="1:26" x14ac:dyDescent="0.25">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spans="1:26" x14ac:dyDescent="0.25">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spans="1:26" x14ac:dyDescent="0.2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spans="1:26" x14ac:dyDescent="0.25">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spans="1:26" x14ac:dyDescent="0.25">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spans="1:26" x14ac:dyDescent="0.25">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spans="1:26" x14ac:dyDescent="0.25">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spans="1:26" x14ac:dyDescent="0.25">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spans="1:26" x14ac:dyDescent="0.25">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spans="1:26" x14ac:dyDescent="0.25">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spans="1:26" x14ac:dyDescent="0.25">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spans="1:26" x14ac:dyDescent="0.25">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spans="1:26" x14ac:dyDescent="0.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spans="1:26" x14ac:dyDescent="0.25">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spans="1:26" x14ac:dyDescent="0.25">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spans="1:26" x14ac:dyDescent="0.25">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spans="1:26" x14ac:dyDescent="0.25">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spans="1:26" x14ac:dyDescent="0.25">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spans="1:26" x14ac:dyDescent="0.25">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spans="1:26" x14ac:dyDescent="0.25">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spans="1:26" x14ac:dyDescent="0.25">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spans="1:26" x14ac:dyDescent="0.25">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spans="1:26" x14ac:dyDescent="0.2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spans="1:26" x14ac:dyDescent="0.25">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spans="1:26" x14ac:dyDescent="0.25">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spans="1:26" x14ac:dyDescent="0.25">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spans="1:26" x14ac:dyDescent="0.25">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spans="1:26" x14ac:dyDescent="0.25">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spans="1:26" x14ac:dyDescent="0.25">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spans="1:26" x14ac:dyDescent="0.25">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spans="1:26" x14ac:dyDescent="0.25">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spans="1:26" x14ac:dyDescent="0.25">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spans="1:26" x14ac:dyDescent="0.2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spans="1:26" x14ac:dyDescent="0.25">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spans="1:26" x14ac:dyDescent="0.25">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spans="1:26" x14ac:dyDescent="0.25">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spans="1:26" x14ac:dyDescent="0.25">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spans="1:26" x14ac:dyDescent="0.25">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spans="1:26" x14ac:dyDescent="0.25">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spans="1:26" x14ac:dyDescent="0.25">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spans="1:26" x14ac:dyDescent="0.25">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spans="1:26" x14ac:dyDescent="0.25">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spans="1:26" x14ac:dyDescent="0.2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spans="1:26" x14ac:dyDescent="0.25">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spans="1:26" x14ac:dyDescent="0.25">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spans="1:26" x14ac:dyDescent="0.25">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spans="1:26" x14ac:dyDescent="0.25">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spans="1:26" x14ac:dyDescent="0.25">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spans="1:26" x14ac:dyDescent="0.25">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spans="1:26" x14ac:dyDescent="0.25">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spans="1:26" x14ac:dyDescent="0.25">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spans="1:26" x14ac:dyDescent="0.25">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spans="1:26" x14ac:dyDescent="0.2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spans="1:26" x14ac:dyDescent="0.25">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spans="1:26" x14ac:dyDescent="0.25">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spans="1:26" x14ac:dyDescent="0.25">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spans="1:26" x14ac:dyDescent="0.25">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spans="1:26" x14ac:dyDescent="0.25">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spans="1:26" x14ac:dyDescent="0.25">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spans="1:26" x14ac:dyDescent="0.25">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spans="1:26" x14ac:dyDescent="0.25">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spans="1:26" x14ac:dyDescent="0.25">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spans="1:26" x14ac:dyDescent="0.2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spans="1:26" x14ac:dyDescent="0.25">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spans="1:26" x14ac:dyDescent="0.25">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spans="1:26" x14ac:dyDescent="0.25">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spans="1:26" x14ac:dyDescent="0.25">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spans="1:26" x14ac:dyDescent="0.25">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spans="1:26" x14ac:dyDescent="0.25">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spans="1:26" x14ac:dyDescent="0.25">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spans="1:26" x14ac:dyDescent="0.25">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spans="1:26" x14ac:dyDescent="0.25">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spans="1:26" x14ac:dyDescent="0.2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spans="1:26" x14ac:dyDescent="0.25">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spans="1:26" x14ac:dyDescent="0.25">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spans="1:26" x14ac:dyDescent="0.25">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spans="1:26" x14ac:dyDescent="0.25">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spans="1:26" x14ac:dyDescent="0.25">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spans="1:26" x14ac:dyDescent="0.25">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spans="1:26" x14ac:dyDescent="0.25">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spans="1:26" x14ac:dyDescent="0.25">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spans="1:26" x14ac:dyDescent="0.25">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spans="1:26" x14ac:dyDescent="0.2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spans="1:26" x14ac:dyDescent="0.25">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spans="1:26" x14ac:dyDescent="0.25">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spans="1:26" x14ac:dyDescent="0.25">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spans="1:26" x14ac:dyDescent="0.25">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spans="1:26" x14ac:dyDescent="0.25">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spans="1:26" x14ac:dyDescent="0.25">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spans="1:26" x14ac:dyDescent="0.25">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spans="1:26" x14ac:dyDescent="0.25">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spans="1:26" x14ac:dyDescent="0.25">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spans="1:26" x14ac:dyDescent="0.2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spans="1:26" x14ac:dyDescent="0.25">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spans="1:26" x14ac:dyDescent="0.25">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spans="1:26" x14ac:dyDescent="0.25">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spans="1:26" x14ac:dyDescent="0.25">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spans="1:26" x14ac:dyDescent="0.25">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spans="1:26" x14ac:dyDescent="0.25">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spans="1:26" x14ac:dyDescent="0.25">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spans="1:26" x14ac:dyDescent="0.25">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spans="1:26" x14ac:dyDescent="0.25">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spans="1:26" x14ac:dyDescent="0.2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spans="1:26" x14ac:dyDescent="0.25">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spans="1:26" x14ac:dyDescent="0.25">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spans="1:26" x14ac:dyDescent="0.25">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spans="1:26" x14ac:dyDescent="0.25">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spans="1:26" x14ac:dyDescent="0.25">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spans="1:26" x14ac:dyDescent="0.25">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spans="1:26" x14ac:dyDescent="0.25">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spans="1:26" x14ac:dyDescent="0.25">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spans="1:26" x14ac:dyDescent="0.25">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spans="1:26" x14ac:dyDescent="0.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spans="1:26" x14ac:dyDescent="0.25">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spans="1:26" x14ac:dyDescent="0.25">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spans="1:26" x14ac:dyDescent="0.25">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spans="1:26" x14ac:dyDescent="0.25">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spans="1:26" x14ac:dyDescent="0.25">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spans="1:26" x14ac:dyDescent="0.25">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spans="1:26" x14ac:dyDescent="0.25">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spans="1:26" x14ac:dyDescent="0.25">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spans="1:26" x14ac:dyDescent="0.25">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spans="1:26" x14ac:dyDescent="0.2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spans="1:26" x14ac:dyDescent="0.25">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spans="1:26" x14ac:dyDescent="0.25">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spans="1:26" x14ac:dyDescent="0.25">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spans="1:26" x14ac:dyDescent="0.25">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spans="1:26" x14ac:dyDescent="0.25">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spans="1:26" x14ac:dyDescent="0.25">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spans="1:26" x14ac:dyDescent="0.25">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spans="1:26" x14ac:dyDescent="0.25">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spans="1:26" x14ac:dyDescent="0.25">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spans="1:26" x14ac:dyDescent="0.2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spans="1:26" x14ac:dyDescent="0.25">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spans="1:26" x14ac:dyDescent="0.25">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spans="1:26" x14ac:dyDescent="0.25">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spans="1:26" x14ac:dyDescent="0.25">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spans="1:26" x14ac:dyDescent="0.25">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spans="1:26" x14ac:dyDescent="0.25">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spans="1:26" x14ac:dyDescent="0.25">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spans="1:26" x14ac:dyDescent="0.25">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spans="1:26" x14ac:dyDescent="0.25">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spans="1:26" x14ac:dyDescent="0.2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spans="1:26" x14ac:dyDescent="0.25">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spans="1:26" x14ac:dyDescent="0.25">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spans="1:26" x14ac:dyDescent="0.25">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spans="1:26" x14ac:dyDescent="0.25">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spans="1:26" x14ac:dyDescent="0.25">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spans="1:26" x14ac:dyDescent="0.25">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spans="1:26" x14ac:dyDescent="0.25">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spans="1:26" x14ac:dyDescent="0.25">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spans="1:26" x14ac:dyDescent="0.25">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spans="1:26" x14ac:dyDescent="0.2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spans="1:26" x14ac:dyDescent="0.25">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spans="1:26" x14ac:dyDescent="0.25">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spans="1:26" x14ac:dyDescent="0.25">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spans="1:26" x14ac:dyDescent="0.25">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spans="1:26" x14ac:dyDescent="0.25">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spans="1:26" x14ac:dyDescent="0.25">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spans="1:26" x14ac:dyDescent="0.25">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spans="1:26" x14ac:dyDescent="0.25">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spans="1:26" x14ac:dyDescent="0.25">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spans="1:26" x14ac:dyDescent="0.2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spans="1:26" x14ac:dyDescent="0.25">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spans="1:26" x14ac:dyDescent="0.25">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spans="1:26" x14ac:dyDescent="0.25">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spans="1:26" x14ac:dyDescent="0.25">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spans="1:26" x14ac:dyDescent="0.25">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spans="1:26" x14ac:dyDescent="0.25">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spans="1:26" x14ac:dyDescent="0.25">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spans="1:26" x14ac:dyDescent="0.25">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spans="1:26" x14ac:dyDescent="0.25">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spans="1:26" x14ac:dyDescent="0.2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spans="1:26" x14ac:dyDescent="0.25">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spans="1:26" x14ac:dyDescent="0.25">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spans="1:26" x14ac:dyDescent="0.25">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spans="1:26" x14ac:dyDescent="0.25">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spans="1:26" x14ac:dyDescent="0.25">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spans="1:26" x14ac:dyDescent="0.25">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spans="1:26" x14ac:dyDescent="0.25">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spans="1:26" x14ac:dyDescent="0.25">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spans="1:26" x14ac:dyDescent="0.25">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spans="1:26" x14ac:dyDescent="0.2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spans="1:26" x14ac:dyDescent="0.25">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spans="1:26" x14ac:dyDescent="0.25">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spans="1:26" x14ac:dyDescent="0.25">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spans="1:26" x14ac:dyDescent="0.25">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spans="1:26" x14ac:dyDescent="0.25">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spans="1:26" x14ac:dyDescent="0.25">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spans="1:26" x14ac:dyDescent="0.25">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spans="1:26" x14ac:dyDescent="0.25">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spans="1:26" x14ac:dyDescent="0.25">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spans="1:26" x14ac:dyDescent="0.2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spans="1:26" x14ac:dyDescent="0.25">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spans="1:26" x14ac:dyDescent="0.25">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spans="1:26" x14ac:dyDescent="0.25">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spans="1:26" x14ac:dyDescent="0.25">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spans="1:26" x14ac:dyDescent="0.25">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spans="1:26" x14ac:dyDescent="0.25">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spans="1:26" x14ac:dyDescent="0.25">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spans="1:26" x14ac:dyDescent="0.25">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spans="1:26" x14ac:dyDescent="0.25">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spans="1:26" x14ac:dyDescent="0.2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spans="1:26" x14ac:dyDescent="0.25">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spans="1:26" x14ac:dyDescent="0.25">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spans="1:26" x14ac:dyDescent="0.25">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spans="1:26" x14ac:dyDescent="0.25">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spans="1:26" x14ac:dyDescent="0.25">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spans="1:26" x14ac:dyDescent="0.25">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spans="1:26" x14ac:dyDescent="0.25">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spans="1:26" x14ac:dyDescent="0.25">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spans="1:26" x14ac:dyDescent="0.25">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x14ac:dyDescent="0.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x14ac:dyDescent="0.25">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spans="1:26" x14ac:dyDescent="0.25">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spans="1:26" x14ac:dyDescent="0.25">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spans="1:26" x14ac:dyDescent="0.25">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x14ac:dyDescent="0.25">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spans="1:26" x14ac:dyDescent="0.25">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spans="1:26" x14ac:dyDescent="0.25">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spans="1:26" x14ac:dyDescent="0.25">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spans="1:26" x14ac:dyDescent="0.25">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spans="1:26" x14ac:dyDescent="0.2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spans="1:26" x14ac:dyDescent="0.25">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spans="1:26" x14ac:dyDescent="0.25">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spans="1:26" x14ac:dyDescent="0.25">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spans="1:26" x14ac:dyDescent="0.25">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spans="1:26" x14ac:dyDescent="0.25">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spans="1:26" x14ac:dyDescent="0.25">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spans="1:26" x14ac:dyDescent="0.25">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spans="1:26" x14ac:dyDescent="0.25">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spans="1:26" x14ac:dyDescent="0.25">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spans="1:26" x14ac:dyDescent="0.2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spans="1:26" x14ac:dyDescent="0.25">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spans="1:26" x14ac:dyDescent="0.25">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spans="1:26" x14ac:dyDescent="0.25">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spans="1:26" x14ac:dyDescent="0.25">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spans="1:26" x14ac:dyDescent="0.25">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spans="1:26" x14ac:dyDescent="0.25">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spans="1:26" x14ac:dyDescent="0.25">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spans="1:26" x14ac:dyDescent="0.25">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spans="1:26" x14ac:dyDescent="0.25">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spans="1:26" x14ac:dyDescent="0.2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spans="1:26" x14ac:dyDescent="0.25">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spans="1:26" x14ac:dyDescent="0.25">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spans="1:26" x14ac:dyDescent="0.25">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spans="1:26" x14ac:dyDescent="0.25">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spans="1:26" x14ac:dyDescent="0.25">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spans="1:26" x14ac:dyDescent="0.25">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spans="1:26" x14ac:dyDescent="0.25">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spans="1:26" x14ac:dyDescent="0.25">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spans="1:26" x14ac:dyDescent="0.25">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spans="1:26" x14ac:dyDescent="0.2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spans="1:26" x14ac:dyDescent="0.25">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spans="1:26" x14ac:dyDescent="0.25">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spans="1:26" x14ac:dyDescent="0.25">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spans="1:26" x14ac:dyDescent="0.25">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spans="1:26" x14ac:dyDescent="0.25">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spans="1:26" x14ac:dyDescent="0.25">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spans="1:26" x14ac:dyDescent="0.25">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spans="1:26" x14ac:dyDescent="0.25">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spans="1:26" x14ac:dyDescent="0.25">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spans="1:26" x14ac:dyDescent="0.2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spans="1:26" x14ac:dyDescent="0.25">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spans="1:26" x14ac:dyDescent="0.25">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spans="1:26" x14ac:dyDescent="0.25">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spans="1:26" x14ac:dyDescent="0.25">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spans="1:26" x14ac:dyDescent="0.25">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spans="1:26" x14ac:dyDescent="0.25">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spans="1:26" x14ac:dyDescent="0.25">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spans="1:26" x14ac:dyDescent="0.25">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spans="1:26" x14ac:dyDescent="0.25">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spans="1:26" x14ac:dyDescent="0.2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spans="1:26" x14ac:dyDescent="0.25">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spans="1:26" x14ac:dyDescent="0.25">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spans="1:26" x14ac:dyDescent="0.25">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spans="1:26" x14ac:dyDescent="0.25">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spans="1:26" x14ac:dyDescent="0.25">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spans="1:26" x14ac:dyDescent="0.25">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spans="1:26" x14ac:dyDescent="0.25">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spans="1:26" x14ac:dyDescent="0.25">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spans="1:26" x14ac:dyDescent="0.25">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spans="1:26" x14ac:dyDescent="0.2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spans="1:26" x14ac:dyDescent="0.25">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x14ac:dyDescent="0.25">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spans="1:26" x14ac:dyDescent="0.25">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spans="1:26" x14ac:dyDescent="0.25">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x14ac:dyDescent="0.25">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x14ac:dyDescent="0.25">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x14ac:dyDescent="0.25">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x14ac:dyDescent="0.25">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x14ac:dyDescent="0.25">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x14ac:dyDescent="0.2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x14ac:dyDescent="0.25">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x14ac:dyDescent="0.25">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x14ac:dyDescent="0.25">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x14ac:dyDescent="0.25">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spans="1:26" x14ac:dyDescent="0.25">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x14ac:dyDescent="0.25">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x14ac:dyDescent="0.25">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x14ac:dyDescent="0.25">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x14ac:dyDescent="0.25">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x14ac:dyDescent="0.2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spans="1:26" x14ac:dyDescent="0.25">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spans="1:26" x14ac:dyDescent="0.25">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x14ac:dyDescent="0.25">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x14ac:dyDescent="0.25">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x14ac:dyDescent="0.25">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x14ac:dyDescent="0.25">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x14ac:dyDescent="0.25">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x14ac:dyDescent="0.25">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x14ac:dyDescent="0.25">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x14ac:dyDescent="0.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x14ac:dyDescent="0.25">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x14ac:dyDescent="0.25">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x14ac:dyDescent="0.25">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x14ac:dyDescent="0.25">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x14ac:dyDescent="0.25">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x14ac:dyDescent="0.25">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x14ac:dyDescent="0.25">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x14ac:dyDescent="0.25">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x14ac:dyDescent="0.25">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x14ac:dyDescent="0.2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x14ac:dyDescent="0.25">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x14ac:dyDescent="0.25">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x14ac:dyDescent="0.25">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x14ac:dyDescent="0.25">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x14ac:dyDescent="0.25">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x14ac:dyDescent="0.25">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x14ac:dyDescent="0.25">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x14ac:dyDescent="0.25">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x14ac:dyDescent="0.25">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x14ac:dyDescent="0.2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x14ac:dyDescent="0.25">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x14ac:dyDescent="0.25">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x14ac:dyDescent="0.25">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x14ac:dyDescent="0.25">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x14ac:dyDescent="0.25">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x14ac:dyDescent="0.25">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x14ac:dyDescent="0.25">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x14ac:dyDescent="0.25">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x14ac:dyDescent="0.25">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x14ac:dyDescent="0.2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x14ac:dyDescent="0.25">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x14ac:dyDescent="0.25">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x14ac:dyDescent="0.25">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x14ac:dyDescent="0.25">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x14ac:dyDescent="0.25">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x14ac:dyDescent="0.25">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x14ac:dyDescent="0.25">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x14ac:dyDescent="0.25">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x14ac:dyDescent="0.25">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x14ac:dyDescent="0.2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x14ac:dyDescent="0.25">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x14ac:dyDescent="0.25">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x14ac:dyDescent="0.25">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x14ac:dyDescent="0.25">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x14ac:dyDescent="0.25">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x14ac:dyDescent="0.25">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x14ac:dyDescent="0.25">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x14ac:dyDescent="0.25">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x14ac:dyDescent="0.25">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x14ac:dyDescent="0.2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x14ac:dyDescent="0.25">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x14ac:dyDescent="0.25">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x14ac:dyDescent="0.25">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x14ac:dyDescent="0.25">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x14ac:dyDescent="0.25">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x14ac:dyDescent="0.25">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x14ac:dyDescent="0.25">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x14ac:dyDescent="0.25">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x14ac:dyDescent="0.25">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x14ac:dyDescent="0.2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x14ac:dyDescent="0.25">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x14ac:dyDescent="0.25">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x14ac:dyDescent="0.25">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x14ac:dyDescent="0.25">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x14ac:dyDescent="0.25">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x14ac:dyDescent="0.25">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x14ac:dyDescent="0.25">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x14ac:dyDescent="0.25">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x14ac:dyDescent="0.25">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x14ac:dyDescent="0.2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x14ac:dyDescent="0.25">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x14ac:dyDescent="0.25">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x14ac:dyDescent="0.25">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x14ac:dyDescent="0.25">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x14ac:dyDescent="0.25">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x14ac:dyDescent="0.25">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x14ac:dyDescent="0.25">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x14ac:dyDescent="0.25">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x14ac:dyDescent="0.25">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x14ac:dyDescent="0.2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x14ac:dyDescent="0.25">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x14ac:dyDescent="0.25">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x14ac:dyDescent="0.25">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x14ac:dyDescent="0.25">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x14ac:dyDescent="0.25">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x14ac:dyDescent="0.25">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x14ac:dyDescent="0.25">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x14ac:dyDescent="0.25">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x14ac:dyDescent="0.25">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x14ac:dyDescent="0.2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x14ac:dyDescent="0.25">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x14ac:dyDescent="0.25">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x14ac:dyDescent="0.25">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x14ac:dyDescent="0.25">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x14ac:dyDescent="0.25">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x14ac:dyDescent="0.25">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x14ac:dyDescent="0.25">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x14ac:dyDescent="0.25">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x14ac:dyDescent="0.25">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x14ac:dyDescent="0.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x14ac:dyDescent="0.25">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x14ac:dyDescent="0.25">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x14ac:dyDescent="0.25">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x14ac:dyDescent="0.25">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x14ac:dyDescent="0.25">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x14ac:dyDescent="0.25">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x14ac:dyDescent="0.25">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x14ac:dyDescent="0.25">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x14ac:dyDescent="0.25">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x14ac:dyDescent="0.2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x14ac:dyDescent="0.25">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x14ac:dyDescent="0.25">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x14ac:dyDescent="0.25">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x14ac:dyDescent="0.25">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x14ac:dyDescent="0.25">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x14ac:dyDescent="0.25">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x14ac:dyDescent="0.25">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x14ac:dyDescent="0.25">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x14ac:dyDescent="0.25">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x14ac:dyDescent="0.2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x14ac:dyDescent="0.25">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x14ac:dyDescent="0.25">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x14ac:dyDescent="0.25">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x14ac:dyDescent="0.25">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x14ac:dyDescent="0.25">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x14ac:dyDescent="0.25">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x14ac:dyDescent="0.25">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x14ac:dyDescent="0.25">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x14ac:dyDescent="0.25">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x14ac:dyDescent="0.2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x14ac:dyDescent="0.25">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x14ac:dyDescent="0.25">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x14ac:dyDescent="0.25">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x14ac:dyDescent="0.25">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x14ac:dyDescent="0.25">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x14ac:dyDescent="0.25">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x14ac:dyDescent="0.25">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x14ac:dyDescent="0.25">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x14ac:dyDescent="0.25">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x14ac:dyDescent="0.2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x14ac:dyDescent="0.25">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x14ac:dyDescent="0.25">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x14ac:dyDescent="0.25">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x14ac:dyDescent="0.25">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x14ac:dyDescent="0.25">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x14ac:dyDescent="0.25">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x14ac:dyDescent="0.25">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x14ac:dyDescent="0.25">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x14ac:dyDescent="0.25">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x14ac:dyDescent="0.2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x14ac:dyDescent="0.25">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x14ac:dyDescent="0.25">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x14ac:dyDescent="0.25">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x14ac:dyDescent="0.25">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x14ac:dyDescent="0.25">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x14ac:dyDescent="0.25">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x14ac:dyDescent="0.25">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x14ac:dyDescent="0.25">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x14ac:dyDescent="0.25">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x14ac:dyDescent="0.2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x14ac:dyDescent="0.25">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x14ac:dyDescent="0.25">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x14ac:dyDescent="0.25">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x14ac:dyDescent="0.25">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x14ac:dyDescent="0.25">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x14ac:dyDescent="0.25">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x14ac:dyDescent="0.25">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x14ac:dyDescent="0.25">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x14ac:dyDescent="0.25">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x14ac:dyDescent="0.2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x14ac:dyDescent="0.25">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x14ac:dyDescent="0.25">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x14ac:dyDescent="0.25">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x14ac:dyDescent="0.25">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x14ac:dyDescent="0.25">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x14ac:dyDescent="0.25">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x14ac:dyDescent="0.25">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x14ac:dyDescent="0.25">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x14ac:dyDescent="0.25">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x14ac:dyDescent="0.2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x14ac:dyDescent="0.25">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x14ac:dyDescent="0.25">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x14ac:dyDescent="0.25">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x14ac:dyDescent="0.25">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x14ac:dyDescent="0.25">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x14ac:dyDescent="0.25">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x14ac:dyDescent="0.25">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x14ac:dyDescent="0.25">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x14ac:dyDescent="0.25">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x14ac:dyDescent="0.2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x14ac:dyDescent="0.25">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x14ac:dyDescent="0.25">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x14ac:dyDescent="0.25">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x14ac:dyDescent="0.25">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x14ac:dyDescent="0.25">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x14ac:dyDescent="0.25">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x14ac:dyDescent="0.25">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x14ac:dyDescent="0.25">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x14ac:dyDescent="0.25">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x14ac:dyDescent="0.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x14ac:dyDescent="0.25">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x14ac:dyDescent="0.25">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x14ac:dyDescent="0.25">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x14ac:dyDescent="0.25">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x14ac:dyDescent="0.25">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x14ac:dyDescent="0.25">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x14ac:dyDescent="0.25">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x14ac:dyDescent="0.25">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x14ac:dyDescent="0.25">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x14ac:dyDescent="0.2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x14ac:dyDescent="0.25">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x14ac:dyDescent="0.25">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x14ac:dyDescent="0.25">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x14ac:dyDescent="0.25">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x14ac:dyDescent="0.25">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x14ac:dyDescent="0.25">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x14ac:dyDescent="0.25">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x14ac:dyDescent="0.25">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x14ac:dyDescent="0.25">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x14ac:dyDescent="0.2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x14ac:dyDescent="0.25">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x14ac:dyDescent="0.25">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x14ac:dyDescent="0.25">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x14ac:dyDescent="0.25">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x14ac:dyDescent="0.25">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x14ac:dyDescent="0.25">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x14ac:dyDescent="0.25">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x14ac:dyDescent="0.25">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x14ac:dyDescent="0.25">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x14ac:dyDescent="0.2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x14ac:dyDescent="0.25">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x14ac:dyDescent="0.25">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x14ac:dyDescent="0.25">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x14ac:dyDescent="0.25">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x14ac:dyDescent="0.25">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x14ac:dyDescent="0.25">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x14ac:dyDescent="0.25">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x14ac:dyDescent="0.25">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x14ac:dyDescent="0.25">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x14ac:dyDescent="0.2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x14ac:dyDescent="0.25">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x14ac:dyDescent="0.25">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x14ac:dyDescent="0.25">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x14ac:dyDescent="0.25">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x14ac:dyDescent="0.25">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x14ac:dyDescent="0.25">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x14ac:dyDescent="0.25">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x14ac:dyDescent="0.25">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x14ac:dyDescent="0.25">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x14ac:dyDescent="0.2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x14ac:dyDescent="0.25">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x14ac:dyDescent="0.25">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x14ac:dyDescent="0.25">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x14ac:dyDescent="0.25">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x14ac:dyDescent="0.25">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x14ac:dyDescent="0.25">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x14ac:dyDescent="0.25">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x14ac:dyDescent="0.25">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x14ac:dyDescent="0.25">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x14ac:dyDescent="0.2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x14ac:dyDescent="0.25">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x14ac:dyDescent="0.25">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x14ac:dyDescent="0.25">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x14ac:dyDescent="0.25">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x14ac:dyDescent="0.25">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x14ac:dyDescent="0.25">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x14ac:dyDescent="0.25">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x14ac:dyDescent="0.25">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x14ac:dyDescent="0.25">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x14ac:dyDescent="0.2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x14ac:dyDescent="0.25">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x14ac:dyDescent="0.25">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x14ac:dyDescent="0.25">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x14ac:dyDescent="0.25">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x14ac:dyDescent="0.25">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x14ac:dyDescent="0.25">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x14ac:dyDescent="0.25">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x14ac:dyDescent="0.25">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x14ac:dyDescent="0.25">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x14ac:dyDescent="0.2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x14ac:dyDescent="0.25">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x14ac:dyDescent="0.25">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x14ac:dyDescent="0.25">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x14ac:dyDescent="0.25">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x14ac:dyDescent="0.25">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x14ac:dyDescent="0.25">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x14ac:dyDescent="0.25">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x14ac:dyDescent="0.25">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x14ac:dyDescent="0.25">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x14ac:dyDescent="0.2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x14ac:dyDescent="0.25">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x14ac:dyDescent="0.25">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x14ac:dyDescent="0.25">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x14ac:dyDescent="0.25">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x14ac:dyDescent="0.25">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x14ac:dyDescent="0.25">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x14ac:dyDescent="0.25">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x14ac:dyDescent="0.25">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x14ac:dyDescent="0.25">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x14ac:dyDescent="0.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x14ac:dyDescent="0.25">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x14ac:dyDescent="0.25">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x14ac:dyDescent="0.25">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x14ac:dyDescent="0.25">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x14ac:dyDescent="0.25">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x14ac:dyDescent="0.25">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x14ac:dyDescent="0.25">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x14ac:dyDescent="0.25">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x14ac:dyDescent="0.25">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x14ac:dyDescent="0.2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x14ac:dyDescent="0.25">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x14ac:dyDescent="0.25">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x14ac:dyDescent="0.25">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x14ac:dyDescent="0.25">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x14ac:dyDescent="0.25">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x14ac:dyDescent="0.25">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x14ac:dyDescent="0.25">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x14ac:dyDescent="0.25">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x14ac:dyDescent="0.25">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x14ac:dyDescent="0.2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x14ac:dyDescent="0.25">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x14ac:dyDescent="0.25">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x14ac:dyDescent="0.25">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x14ac:dyDescent="0.25">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x14ac:dyDescent="0.25">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x14ac:dyDescent="0.25">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x14ac:dyDescent="0.25">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x14ac:dyDescent="0.25">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x14ac:dyDescent="0.25">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x14ac:dyDescent="0.2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x14ac:dyDescent="0.25">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x14ac:dyDescent="0.25">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x14ac:dyDescent="0.25">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x14ac:dyDescent="0.25">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x14ac:dyDescent="0.25">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x14ac:dyDescent="0.25">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x14ac:dyDescent="0.25">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x14ac:dyDescent="0.25">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x14ac:dyDescent="0.25">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x14ac:dyDescent="0.2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x14ac:dyDescent="0.25">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x14ac:dyDescent="0.25">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x14ac:dyDescent="0.25">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x14ac:dyDescent="0.25">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x14ac:dyDescent="0.25">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x14ac:dyDescent="0.25">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x14ac:dyDescent="0.25">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x14ac:dyDescent="0.25">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x14ac:dyDescent="0.25">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x14ac:dyDescent="0.2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x14ac:dyDescent="0.25">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x14ac:dyDescent="0.25">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x14ac:dyDescent="0.25">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x14ac:dyDescent="0.25">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x14ac:dyDescent="0.25">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x14ac:dyDescent="0.25">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x14ac:dyDescent="0.25">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x14ac:dyDescent="0.25">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x14ac:dyDescent="0.25">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x14ac:dyDescent="0.2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x14ac:dyDescent="0.25">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x14ac:dyDescent="0.25">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x14ac:dyDescent="0.25">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x14ac:dyDescent="0.25">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x14ac:dyDescent="0.25">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x14ac:dyDescent="0.25">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x14ac:dyDescent="0.25">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x14ac:dyDescent="0.25">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x14ac:dyDescent="0.25">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x14ac:dyDescent="0.2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x14ac:dyDescent="0.25">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x14ac:dyDescent="0.25">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x14ac:dyDescent="0.25">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x14ac:dyDescent="0.25">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x14ac:dyDescent="0.25">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x14ac:dyDescent="0.25">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x14ac:dyDescent="0.25">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x14ac:dyDescent="0.25">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x14ac:dyDescent="0.25">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x14ac:dyDescent="0.2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x14ac:dyDescent="0.25">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x14ac:dyDescent="0.25">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x14ac:dyDescent="0.25">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x14ac:dyDescent="0.25">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x14ac:dyDescent="0.25">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x14ac:dyDescent="0.25">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x14ac:dyDescent="0.25">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x14ac:dyDescent="0.25">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x14ac:dyDescent="0.25">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x14ac:dyDescent="0.2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x14ac:dyDescent="0.25">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x14ac:dyDescent="0.25">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x14ac:dyDescent="0.25">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x14ac:dyDescent="0.25">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x14ac:dyDescent="0.25">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x14ac:dyDescent="0.25">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x14ac:dyDescent="0.25">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x14ac:dyDescent="0.25">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x14ac:dyDescent="0.25">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x14ac:dyDescent="0.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x14ac:dyDescent="0.25">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x14ac:dyDescent="0.25">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x14ac:dyDescent="0.25">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x14ac:dyDescent="0.25">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x14ac:dyDescent="0.25">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x14ac:dyDescent="0.25">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x14ac:dyDescent="0.25">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x14ac:dyDescent="0.25">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x14ac:dyDescent="0.25">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x14ac:dyDescent="0.2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x14ac:dyDescent="0.25">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x14ac:dyDescent="0.25">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x14ac:dyDescent="0.25">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x14ac:dyDescent="0.25">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x14ac:dyDescent="0.25">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x14ac:dyDescent="0.25">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x14ac:dyDescent="0.25">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x14ac:dyDescent="0.25">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x14ac:dyDescent="0.25">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x14ac:dyDescent="0.2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x14ac:dyDescent="0.25">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x14ac:dyDescent="0.25">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x14ac:dyDescent="0.25">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x14ac:dyDescent="0.25">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x14ac:dyDescent="0.25">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x14ac:dyDescent="0.25">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x14ac:dyDescent="0.25">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x14ac:dyDescent="0.25">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x14ac:dyDescent="0.25">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x14ac:dyDescent="0.2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x14ac:dyDescent="0.25">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x14ac:dyDescent="0.25">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x14ac:dyDescent="0.25">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x14ac:dyDescent="0.25">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x14ac:dyDescent="0.25">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x14ac:dyDescent="0.25">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x14ac:dyDescent="0.25">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x14ac:dyDescent="0.25">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x14ac:dyDescent="0.25">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x14ac:dyDescent="0.2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x14ac:dyDescent="0.25">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x14ac:dyDescent="0.25">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x14ac:dyDescent="0.25">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x14ac:dyDescent="0.25">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x14ac:dyDescent="0.25">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x14ac:dyDescent="0.25">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x14ac:dyDescent="0.25">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x14ac:dyDescent="0.25">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x14ac:dyDescent="0.25">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x14ac:dyDescent="0.2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x14ac:dyDescent="0.25">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x14ac:dyDescent="0.25">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x14ac:dyDescent="0.25">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x14ac:dyDescent="0.25">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x14ac:dyDescent="0.25">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x14ac:dyDescent="0.25">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x14ac:dyDescent="0.25">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x14ac:dyDescent="0.25">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x14ac:dyDescent="0.25">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x14ac:dyDescent="0.2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x14ac:dyDescent="0.25">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x14ac:dyDescent="0.25">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x14ac:dyDescent="0.25">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x14ac:dyDescent="0.25">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x14ac:dyDescent="0.25">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x14ac:dyDescent="0.25">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x14ac:dyDescent="0.25">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x14ac:dyDescent="0.25">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x14ac:dyDescent="0.25">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x14ac:dyDescent="0.2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x14ac:dyDescent="0.25">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x14ac:dyDescent="0.25">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x14ac:dyDescent="0.25">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x14ac:dyDescent="0.25">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x14ac:dyDescent="0.25">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x14ac:dyDescent="0.25">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x14ac:dyDescent="0.25">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x14ac:dyDescent="0.25">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x14ac:dyDescent="0.25">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x14ac:dyDescent="0.2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x14ac:dyDescent="0.25">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x14ac:dyDescent="0.25">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x14ac:dyDescent="0.25">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x14ac:dyDescent="0.25">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x14ac:dyDescent="0.25">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x14ac:dyDescent="0.25">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x14ac:dyDescent="0.25">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x14ac:dyDescent="0.25">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x14ac:dyDescent="0.25">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x14ac:dyDescent="0.2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x14ac:dyDescent="0.25">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x14ac:dyDescent="0.25">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x14ac:dyDescent="0.25">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x14ac:dyDescent="0.25">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x14ac:dyDescent="0.25">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x14ac:dyDescent="0.25">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x14ac:dyDescent="0.25">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x14ac:dyDescent="0.25">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x14ac:dyDescent="0.25">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x14ac:dyDescent="0.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x14ac:dyDescent="0.25">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x14ac:dyDescent="0.25">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x14ac:dyDescent="0.25">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x14ac:dyDescent="0.25">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x14ac:dyDescent="0.25">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x14ac:dyDescent="0.25">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x14ac:dyDescent="0.25">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x14ac:dyDescent="0.25">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x14ac:dyDescent="0.25">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x14ac:dyDescent="0.2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x14ac:dyDescent="0.25">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x14ac:dyDescent="0.25">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x14ac:dyDescent="0.25">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x14ac:dyDescent="0.25">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x14ac:dyDescent="0.25">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x14ac:dyDescent="0.25">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x14ac:dyDescent="0.25">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x14ac:dyDescent="0.25">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x14ac:dyDescent="0.25">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x14ac:dyDescent="0.2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x14ac:dyDescent="0.25">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x14ac:dyDescent="0.25">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x14ac:dyDescent="0.25">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x14ac:dyDescent="0.25">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x14ac:dyDescent="0.25">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x14ac:dyDescent="0.25">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x14ac:dyDescent="0.25">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x14ac:dyDescent="0.25">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x14ac:dyDescent="0.25">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x14ac:dyDescent="0.2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x14ac:dyDescent="0.25">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x14ac:dyDescent="0.25">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x14ac:dyDescent="0.25">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x14ac:dyDescent="0.25">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x14ac:dyDescent="0.25">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x14ac:dyDescent="0.25">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x14ac:dyDescent="0.25">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x14ac:dyDescent="0.25">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x14ac:dyDescent="0.25">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x14ac:dyDescent="0.2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x14ac:dyDescent="0.25">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x14ac:dyDescent="0.25">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x14ac:dyDescent="0.25">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x14ac:dyDescent="0.25">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x14ac:dyDescent="0.25">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x14ac:dyDescent="0.25">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x14ac:dyDescent="0.25">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x14ac:dyDescent="0.25">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x14ac:dyDescent="0.25">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x14ac:dyDescent="0.2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x14ac:dyDescent="0.25">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x14ac:dyDescent="0.25">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x14ac:dyDescent="0.25">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x14ac:dyDescent="0.25">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x14ac:dyDescent="0.25">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x14ac:dyDescent="0.25">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x14ac:dyDescent="0.25">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x14ac:dyDescent="0.25">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x14ac:dyDescent="0.25">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x14ac:dyDescent="0.2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x14ac:dyDescent="0.25">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x14ac:dyDescent="0.25">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x14ac:dyDescent="0.25">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x14ac:dyDescent="0.25">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x14ac:dyDescent="0.25">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x14ac:dyDescent="0.25">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x14ac:dyDescent="0.25">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x14ac:dyDescent="0.25">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x14ac:dyDescent="0.25">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x14ac:dyDescent="0.2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x14ac:dyDescent="0.25">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x14ac:dyDescent="0.25">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x14ac:dyDescent="0.25">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spans="1:26" x14ac:dyDescent="0.25">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spans="1:26" x14ac:dyDescent="0.25">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999"/>
  <sheetViews>
    <sheetView topLeftCell="A4" zoomScale="90" zoomScaleNormal="90" workbookViewId="0">
      <selection activeCell="E8" sqref="E8"/>
    </sheetView>
  </sheetViews>
  <sheetFormatPr baseColWidth="10" defaultColWidth="12.5703125" defaultRowHeight="15.75" customHeight="1" x14ac:dyDescent="0.2"/>
  <cols>
    <col min="1" max="1" width="8.140625" bestFit="1" customWidth="1"/>
    <col min="2" max="2" width="54.85546875" bestFit="1" customWidth="1"/>
    <col min="3" max="3" width="78" customWidth="1"/>
    <col min="4" max="4" width="16.5703125" bestFit="1" customWidth="1"/>
    <col min="5" max="5" width="25" bestFit="1" customWidth="1"/>
    <col min="6" max="6" width="94.140625" customWidth="1"/>
  </cols>
  <sheetData>
    <row r="1" spans="1:26" ht="15.75" customHeight="1" x14ac:dyDescent="0.25">
      <c r="A1" s="17" t="s">
        <v>19</v>
      </c>
      <c r="B1" s="17" t="s">
        <v>76</v>
      </c>
      <c r="C1" s="17" t="s">
        <v>64</v>
      </c>
      <c r="D1" s="17" t="s">
        <v>77</v>
      </c>
      <c r="E1" s="17" t="s">
        <v>78</v>
      </c>
      <c r="F1" s="14"/>
      <c r="G1" s="14"/>
      <c r="H1" s="14"/>
      <c r="I1" s="14"/>
      <c r="J1" s="14"/>
      <c r="K1" s="14"/>
      <c r="L1" s="14"/>
      <c r="M1" s="14"/>
      <c r="N1" s="14"/>
      <c r="O1" s="14"/>
      <c r="P1" s="14"/>
      <c r="Q1" s="14"/>
      <c r="R1" s="14"/>
      <c r="S1" s="14"/>
      <c r="T1" s="14"/>
      <c r="U1" s="14"/>
      <c r="V1" s="14"/>
      <c r="W1" s="14"/>
      <c r="X1" s="14"/>
      <c r="Y1" s="14"/>
      <c r="Z1" s="14"/>
    </row>
    <row r="2" spans="1:26" ht="15.75" customHeight="1" x14ac:dyDescent="0.25">
      <c r="A2" s="15" t="s">
        <v>50</v>
      </c>
      <c r="B2" s="16" t="s">
        <v>79</v>
      </c>
      <c r="C2" s="15">
        <v>3</v>
      </c>
      <c r="D2" s="20">
        <f>(2500000-750000)/1</f>
        <v>1750000</v>
      </c>
      <c r="E2" s="20">
        <f t="shared" ref="E2:E3" si="0">C2*D2</f>
        <v>5250000</v>
      </c>
      <c r="F2" s="14"/>
      <c r="G2" s="14"/>
      <c r="H2" s="14"/>
      <c r="I2" s="14"/>
      <c r="J2" s="14"/>
      <c r="K2" s="14"/>
      <c r="L2" s="14"/>
      <c r="M2" s="14"/>
      <c r="N2" s="14"/>
      <c r="O2" s="14"/>
      <c r="P2" s="14"/>
      <c r="Q2" s="14"/>
      <c r="R2" s="14"/>
      <c r="S2" s="14"/>
      <c r="T2" s="14"/>
      <c r="U2" s="14"/>
      <c r="V2" s="14"/>
      <c r="W2" s="14"/>
      <c r="X2" s="14"/>
      <c r="Y2" s="14"/>
      <c r="Z2" s="14"/>
    </row>
    <row r="3" spans="1:26" ht="15.75" customHeight="1" x14ac:dyDescent="0.25">
      <c r="A3" s="16" t="s">
        <v>80</v>
      </c>
      <c r="B3" s="16" t="s">
        <v>81</v>
      </c>
      <c r="C3" s="15">
        <v>3</v>
      </c>
      <c r="D3" s="20">
        <f t="shared" ref="D3" si="1">(2500000-750000)/1</f>
        <v>1750000</v>
      </c>
      <c r="E3" s="20">
        <f t="shared" si="0"/>
        <v>5250000</v>
      </c>
      <c r="F3" s="14"/>
      <c r="G3" s="14"/>
      <c r="H3" s="14"/>
      <c r="I3" s="14"/>
      <c r="J3" s="14"/>
      <c r="K3" s="14"/>
      <c r="L3" s="14"/>
      <c r="M3" s="14"/>
      <c r="N3" s="14"/>
      <c r="O3" s="14"/>
      <c r="P3" s="14"/>
      <c r="Q3" s="14"/>
      <c r="R3" s="14"/>
      <c r="S3" s="14"/>
      <c r="T3" s="14"/>
      <c r="U3" s="14"/>
      <c r="V3" s="14"/>
      <c r="W3" s="14"/>
      <c r="X3" s="14"/>
      <c r="Y3" s="14"/>
      <c r="Z3" s="14"/>
    </row>
    <row r="4" spans="1:26" ht="15.75" customHeight="1" x14ac:dyDescent="0.25">
      <c r="A4" s="15" t="s">
        <v>82</v>
      </c>
      <c r="B4" s="16" t="s">
        <v>83</v>
      </c>
      <c r="C4" s="7" t="s">
        <v>98</v>
      </c>
      <c r="D4" s="21">
        <v>367000</v>
      </c>
      <c r="E4" s="21">
        <v>367000</v>
      </c>
      <c r="F4" s="14"/>
      <c r="G4" s="14"/>
      <c r="H4" s="14"/>
      <c r="I4" s="14"/>
      <c r="J4" s="14"/>
      <c r="K4" s="14"/>
      <c r="L4" s="14"/>
      <c r="M4" s="14"/>
      <c r="N4" s="14"/>
      <c r="O4" s="14"/>
      <c r="P4" s="14"/>
      <c r="Q4" s="14"/>
      <c r="R4" s="14"/>
      <c r="S4" s="14"/>
      <c r="T4" s="14"/>
      <c r="U4" s="14"/>
      <c r="V4" s="14"/>
      <c r="W4" s="14"/>
      <c r="X4" s="14"/>
      <c r="Y4" s="14"/>
      <c r="Z4" s="14"/>
    </row>
    <row r="5" spans="1:26" ht="15.75" customHeight="1" x14ac:dyDescent="0.25">
      <c r="A5" s="16" t="s">
        <v>84</v>
      </c>
      <c r="B5" s="16" t="s">
        <v>85</v>
      </c>
      <c r="C5" s="7" t="s">
        <v>98</v>
      </c>
      <c r="D5" s="21">
        <v>367000</v>
      </c>
      <c r="E5" s="21">
        <v>367000</v>
      </c>
      <c r="F5" s="14"/>
      <c r="G5" s="14"/>
      <c r="H5" s="14"/>
      <c r="I5" s="14"/>
      <c r="J5" s="14"/>
      <c r="K5" s="14"/>
      <c r="L5" s="14"/>
      <c r="M5" s="14"/>
      <c r="N5" s="14"/>
      <c r="O5" s="14"/>
      <c r="P5" s="14"/>
      <c r="Q5" s="14"/>
      <c r="R5" s="14"/>
      <c r="S5" s="14"/>
      <c r="T5" s="14"/>
      <c r="U5" s="14"/>
      <c r="V5" s="14"/>
      <c r="W5" s="14"/>
      <c r="X5" s="14"/>
      <c r="Y5" s="14"/>
      <c r="Z5" s="14"/>
    </row>
    <row r="6" spans="1:26" ht="15.75" customHeight="1" x14ac:dyDescent="0.25">
      <c r="A6" s="15" t="s">
        <v>86</v>
      </c>
      <c r="B6" s="16" t="s">
        <v>87</v>
      </c>
      <c r="C6" s="15">
        <v>1</v>
      </c>
      <c r="D6" s="21">
        <v>0</v>
      </c>
      <c r="E6" s="21">
        <v>0</v>
      </c>
      <c r="F6" s="14"/>
      <c r="G6" s="14"/>
      <c r="H6" s="14"/>
      <c r="I6" s="14"/>
      <c r="J6" s="14"/>
      <c r="K6" s="14"/>
      <c r="L6" s="14"/>
      <c r="M6" s="14"/>
      <c r="N6" s="14"/>
      <c r="O6" s="14"/>
      <c r="P6" s="14"/>
      <c r="Q6" s="14"/>
      <c r="R6" s="14"/>
      <c r="S6" s="14"/>
      <c r="T6" s="14"/>
      <c r="U6" s="14"/>
      <c r="V6" s="14"/>
      <c r="W6" s="14"/>
      <c r="X6" s="14"/>
      <c r="Y6" s="14"/>
      <c r="Z6" s="14"/>
    </row>
    <row r="7" spans="1:26" ht="15.75" customHeight="1" x14ac:dyDescent="0.25">
      <c r="A7" s="16" t="s">
        <v>88</v>
      </c>
      <c r="B7" s="16" t="s">
        <v>89</v>
      </c>
      <c r="C7" s="15">
        <v>1</v>
      </c>
      <c r="D7" s="21">
        <v>0</v>
      </c>
      <c r="E7" s="21">
        <v>0</v>
      </c>
      <c r="F7" s="14"/>
      <c r="G7" s="14"/>
      <c r="H7" s="14"/>
      <c r="I7" s="14"/>
      <c r="J7" s="14"/>
      <c r="K7" s="14"/>
      <c r="L7" s="14"/>
      <c r="M7" s="14"/>
      <c r="N7" s="14"/>
      <c r="O7" s="14"/>
      <c r="P7" s="14"/>
      <c r="Q7" s="14"/>
      <c r="R7" s="14"/>
      <c r="S7" s="14"/>
      <c r="T7" s="14"/>
      <c r="U7" s="14"/>
      <c r="V7" s="14"/>
      <c r="W7" s="14"/>
      <c r="X7" s="14"/>
      <c r="Y7" s="14"/>
      <c r="Z7" s="14"/>
    </row>
    <row r="8" spans="1:26" ht="15.75" customHeight="1" x14ac:dyDescent="0.25">
      <c r="A8" s="16" t="s">
        <v>73</v>
      </c>
      <c r="B8" s="7" t="s">
        <v>90</v>
      </c>
      <c r="C8" s="14" t="s">
        <v>75</v>
      </c>
      <c r="D8" s="22" t="s">
        <v>75</v>
      </c>
      <c r="E8" s="20">
        <f>E2+E4+E6</f>
        <v>5617000</v>
      </c>
      <c r="F8" s="14"/>
      <c r="G8" s="14"/>
      <c r="H8" s="14"/>
      <c r="I8" s="14"/>
      <c r="J8" s="14"/>
      <c r="K8" s="14"/>
      <c r="L8" s="14"/>
      <c r="M8" s="14"/>
      <c r="N8" s="14"/>
      <c r="O8" s="14"/>
      <c r="P8" s="14"/>
      <c r="Q8" s="14"/>
      <c r="R8" s="14"/>
      <c r="S8" s="14"/>
      <c r="T8" s="14"/>
      <c r="U8" s="14"/>
      <c r="V8" s="14"/>
      <c r="W8" s="14"/>
      <c r="X8" s="14"/>
      <c r="Y8" s="14"/>
      <c r="Z8" s="14"/>
    </row>
    <row r="9" spans="1:26" ht="15.75" customHeight="1" x14ac:dyDescent="0.25">
      <c r="A9" s="14"/>
      <c r="B9" s="14"/>
      <c r="C9" s="14"/>
      <c r="D9" s="14"/>
      <c r="E9" s="14"/>
      <c r="F9" s="14"/>
      <c r="G9" s="14"/>
      <c r="H9" s="14"/>
      <c r="I9" s="14"/>
      <c r="J9" s="14"/>
      <c r="K9" s="14"/>
      <c r="L9" s="14"/>
      <c r="M9" s="14"/>
      <c r="N9" s="14"/>
      <c r="O9" s="14"/>
      <c r="P9" s="14"/>
      <c r="Q9" s="14"/>
      <c r="R9" s="14"/>
      <c r="S9" s="14"/>
      <c r="T9" s="14"/>
      <c r="U9" s="14"/>
      <c r="V9" s="14"/>
      <c r="W9" s="14"/>
      <c r="X9" s="14"/>
      <c r="Y9" s="14"/>
      <c r="Z9" s="14"/>
    </row>
    <row r="10" spans="1:26" ht="15.75" customHeight="1" x14ac:dyDescent="0.25">
      <c r="A10" s="14"/>
      <c r="B10" s="14"/>
      <c r="C10" s="14"/>
      <c r="D10" s="14"/>
      <c r="E10" s="14"/>
      <c r="F10" s="14"/>
      <c r="G10" s="14"/>
      <c r="H10" s="14"/>
      <c r="I10" s="14"/>
      <c r="J10" s="14"/>
      <c r="K10" s="14"/>
      <c r="L10" s="14"/>
      <c r="M10" s="14"/>
      <c r="N10" s="14"/>
      <c r="O10" s="14"/>
      <c r="P10" s="14"/>
      <c r="Q10" s="14"/>
      <c r="R10" s="14"/>
      <c r="S10" s="14"/>
      <c r="T10" s="14"/>
      <c r="U10" s="14"/>
      <c r="V10" s="14"/>
      <c r="W10" s="14"/>
      <c r="X10" s="14"/>
      <c r="Y10" s="14"/>
      <c r="Z10" s="14"/>
    </row>
    <row r="11" spans="1:26" ht="15.75" customHeight="1" x14ac:dyDescent="0.25">
      <c r="A11" s="14"/>
      <c r="B11" s="47" t="s">
        <v>146</v>
      </c>
      <c r="C11" s="47"/>
      <c r="D11" s="14"/>
      <c r="E11" s="52" t="s">
        <v>155</v>
      </c>
      <c r="F11" s="51" t="s">
        <v>156</v>
      </c>
      <c r="G11" s="14"/>
      <c r="H11" s="14"/>
      <c r="I11" s="14"/>
      <c r="J11" s="14"/>
      <c r="K11" s="14"/>
      <c r="L11" s="14"/>
      <c r="M11" s="14"/>
      <c r="N11" s="14"/>
      <c r="O11" s="14"/>
      <c r="P11" s="14"/>
      <c r="Q11" s="14"/>
      <c r="R11" s="14"/>
      <c r="S11" s="14"/>
      <c r="T11" s="14"/>
      <c r="U11" s="14"/>
      <c r="V11" s="14"/>
      <c r="W11" s="14"/>
      <c r="X11" s="14"/>
      <c r="Y11" s="14"/>
      <c r="Z11" s="14"/>
    </row>
    <row r="12" spans="1:26" ht="15.75" customHeight="1" x14ac:dyDescent="0.25">
      <c r="A12" s="14"/>
      <c r="B12" s="48" t="s">
        <v>147</v>
      </c>
      <c r="C12" s="48" t="s">
        <v>148</v>
      </c>
      <c r="D12" s="14"/>
      <c r="E12" s="52"/>
      <c r="F12" s="51"/>
      <c r="G12" s="14"/>
      <c r="H12" s="14"/>
      <c r="I12" s="14"/>
      <c r="J12" s="14"/>
      <c r="K12" s="14"/>
      <c r="L12" s="14"/>
      <c r="M12" s="14"/>
      <c r="N12" s="14"/>
      <c r="O12" s="14"/>
      <c r="P12" s="14"/>
      <c r="Q12" s="14"/>
      <c r="R12" s="14"/>
      <c r="S12" s="14"/>
      <c r="T12" s="14"/>
      <c r="U12" s="14"/>
      <c r="V12" s="14"/>
      <c r="W12" s="14"/>
      <c r="X12" s="14"/>
      <c r="Y12" s="14"/>
      <c r="Z12" s="14"/>
    </row>
    <row r="13" spans="1:26" ht="15.75" customHeight="1" x14ac:dyDescent="0.25">
      <c r="A13" s="14"/>
      <c r="B13" s="49" t="s">
        <v>149</v>
      </c>
      <c r="C13" s="50" t="s">
        <v>150</v>
      </c>
      <c r="D13" s="14"/>
      <c r="E13" s="52"/>
      <c r="F13" s="51"/>
      <c r="G13" s="14"/>
      <c r="H13" s="14"/>
      <c r="I13" s="14"/>
      <c r="J13" s="14"/>
      <c r="K13" s="14"/>
      <c r="L13" s="14"/>
      <c r="M13" s="14"/>
      <c r="N13" s="14"/>
      <c r="O13" s="14"/>
      <c r="P13" s="14"/>
      <c r="Q13" s="14"/>
      <c r="R13" s="14"/>
      <c r="S13" s="14"/>
      <c r="T13" s="14"/>
      <c r="U13" s="14"/>
      <c r="V13" s="14"/>
      <c r="W13" s="14"/>
      <c r="X13" s="14"/>
      <c r="Y13" s="14"/>
      <c r="Z13" s="14"/>
    </row>
    <row r="14" spans="1:26" ht="15.75" customHeight="1" x14ac:dyDescent="0.25">
      <c r="A14" s="14"/>
      <c r="B14" s="49"/>
      <c r="C14" s="50"/>
      <c r="D14" s="14"/>
      <c r="E14" s="52" t="s">
        <v>157</v>
      </c>
      <c r="F14" s="51" t="s">
        <v>158</v>
      </c>
      <c r="G14" s="14"/>
      <c r="H14" s="14"/>
      <c r="I14" s="14"/>
      <c r="J14" s="14"/>
      <c r="K14" s="14"/>
      <c r="L14" s="14"/>
      <c r="M14" s="14"/>
      <c r="N14" s="14"/>
      <c r="O14" s="14"/>
      <c r="P14" s="14"/>
      <c r="Q14" s="14"/>
      <c r="R14" s="14"/>
      <c r="S14" s="14"/>
      <c r="T14" s="14"/>
      <c r="U14" s="14"/>
      <c r="V14" s="14"/>
      <c r="W14" s="14"/>
      <c r="X14" s="14"/>
      <c r="Y14" s="14"/>
      <c r="Z14" s="14"/>
    </row>
    <row r="15" spans="1:26" ht="15.75" customHeight="1" x14ac:dyDescent="0.25">
      <c r="A15" s="14"/>
      <c r="B15" s="49"/>
      <c r="C15" s="50"/>
      <c r="D15" s="14"/>
      <c r="E15" s="52"/>
      <c r="F15" s="51"/>
      <c r="G15" s="14"/>
      <c r="H15" s="14"/>
      <c r="I15" s="14"/>
      <c r="J15" s="14"/>
      <c r="K15" s="14"/>
      <c r="L15" s="14"/>
      <c r="M15" s="14"/>
      <c r="N15" s="14"/>
      <c r="O15" s="14"/>
      <c r="P15" s="14"/>
      <c r="Q15" s="14"/>
      <c r="R15" s="14"/>
      <c r="S15" s="14"/>
      <c r="T15" s="14"/>
      <c r="U15" s="14"/>
      <c r="V15" s="14"/>
      <c r="W15" s="14"/>
      <c r="X15" s="14"/>
      <c r="Y15" s="14"/>
      <c r="Z15" s="14"/>
    </row>
    <row r="16" spans="1:26" ht="15.75" customHeight="1" x14ac:dyDescent="0.25">
      <c r="A16" s="14"/>
      <c r="B16" s="49" t="s">
        <v>151</v>
      </c>
      <c r="C16" s="51" t="s">
        <v>152</v>
      </c>
      <c r="D16" s="14"/>
      <c r="E16" s="52"/>
      <c r="F16" s="51"/>
      <c r="G16" s="14"/>
      <c r="H16" s="14"/>
      <c r="I16" s="14"/>
      <c r="J16" s="14"/>
      <c r="K16" s="14"/>
      <c r="L16" s="14"/>
      <c r="M16" s="14"/>
      <c r="N16" s="14"/>
      <c r="O16" s="14"/>
      <c r="P16" s="14"/>
      <c r="Q16" s="14"/>
      <c r="R16" s="14"/>
      <c r="S16" s="14"/>
      <c r="T16" s="14"/>
      <c r="U16" s="14"/>
      <c r="V16" s="14"/>
      <c r="W16" s="14"/>
      <c r="X16" s="14"/>
      <c r="Y16" s="14"/>
      <c r="Z16" s="14"/>
    </row>
    <row r="17" spans="1:26" ht="15.75" customHeight="1" x14ac:dyDescent="0.25">
      <c r="A17" s="14"/>
      <c r="B17" s="49"/>
      <c r="C17" s="51"/>
      <c r="D17" s="14"/>
      <c r="E17" s="52"/>
      <c r="F17" s="51"/>
      <c r="G17" s="14"/>
      <c r="H17" s="14"/>
      <c r="I17" s="14"/>
      <c r="J17" s="14"/>
      <c r="K17" s="14"/>
      <c r="L17" s="14"/>
      <c r="M17" s="14"/>
      <c r="N17" s="14"/>
      <c r="O17" s="14"/>
      <c r="P17" s="14"/>
      <c r="Q17" s="14"/>
      <c r="R17" s="14"/>
      <c r="S17" s="14"/>
      <c r="T17" s="14"/>
      <c r="U17" s="14"/>
      <c r="V17" s="14"/>
      <c r="W17" s="14"/>
      <c r="X17" s="14"/>
      <c r="Y17" s="14"/>
      <c r="Z17" s="14"/>
    </row>
    <row r="18" spans="1:26" ht="15.75" customHeight="1" x14ac:dyDescent="0.25">
      <c r="A18" s="14"/>
      <c r="B18" s="49"/>
      <c r="C18" s="51"/>
      <c r="D18" s="14"/>
      <c r="E18" s="52"/>
      <c r="F18" s="51"/>
      <c r="G18" s="14"/>
      <c r="H18" s="14"/>
      <c r="I18" s="14"/>
      <c r="J18" s="14"/>
      <c r="K18" s="14"/>
      <c r="L18" s="14"/>
      <c r="M18" s="14"/>
      <c r="N18" s="14"/>
      <c r="O18" s="14"/>
      <c r="P18" s="14"/>
      <c r="Q18" s="14"/>
      <c r="R18" s="14"/>
      <c r="S18" s="14"/>
      <c r="T18" s="14"/>
      <c r="U18" s="14"/>
      <c r="V18" s="14"/>
      <c r="W18" s="14"/>
      <c r="X18" s="14"/>
      <c r="Y18" s="14"/>
      <c r="Z18" s="14"/>
    </row>
    <row r="19" spans="1:26" ht="15.75" customHeight="1" x14ac:dyDescent="0.25">
      <c r="A19" s="14"/>
      <c r="B19" s="49" t="s">
        <v>153</v>
      </c>
      <c r="C19" s="51" t="s">
        <v>154</v>
      </c>
      <c r="D19" s="14"/>
      <c r="E19" s="14"/>
      <c r="F19" s="14"/>
      <c r="G19" s="14"/>
      <c r="H19" s="14"/>
      <c r="I19" s="14"/>
      <c r="J19" s="14"/>
      <c r="K19" s="14"/>
      <c r="L19" s="14"/>
      <c r="M19" s="14"/>
      <c r="N19" s="14"/>
      <c r="O19" s="14"/>
      <c r="P19" s="14"/>
      <c r="Q19" s="14"/>
      <c r="R19" s="14"/>
      <c r="S19" s="14"/>
      <c r="T19" s="14"/>
      <c r="U19" s="14"/>
      <c r="V19" s="14"/>
      <c r="W19" s="14"/>
      <c r="X19" s="14"/>
      <c r="Y19" s="14"/>
      <c r="Z19" s="14"/>
    </row>
    <row r="20" spans="1:26" ht="15.75" customHeight="1" x14ac:dyDescent="0.25">
      <c r="A20" s="14"/>
      <c r="B20" s="49"/>
      <c r="C20" s="51"/>
      <c r="D20" s="14"/>
      <c r="E20" s="14"/>
      <c r="F20" s="14"/>
      <c r="G20" s="14"/>
      <c r="H20" s="14"/>
      <c r="I20" s="14"/>
      <c r="J20" s="14"/>
      <c r="K20" s="14"/>
      <c r="L20" s="14"/>
      <c r="M20" s="14"/>
      <c r="N20" s="14"/>
      <c r="O20" s="14"/>
      <c r="P20" s="14"/>
      <c r="Q20" s="14"/>
      <c r="R20" s="14"/>
      <c r="S20" s="14"/>
      <c r="T20" s="14"/>
      <c r="U20" s="14"/>
      <c r="V20" s="14"/>
      <c r="W20" s="14"/>
      <c r="X20" s="14"/>
      <c r="Y20" s="14"/>
      <c r="Z20" s="14"/>
    </row>
    <row r="21" spans="1:26" ht="15.75" customHeight="1" x14ac:dyDescent="0.25">
      <c r="A21" s="14"/>
      <c r="B21" s="49"/>
      <c r="C21" s="51"/>
      <c r="D21" s="14"/>
      <c r="E21" s="14"/>
      <c r="F21" s="14"/>
      <c r="G21" s="14"/>
      <c r="H21" s="14"/>
      <c r="I21" s="14"/>
      <c r="J21" s="14"/>
      <c r="K21" s="14"/>
      <c r="L21" s="14"/>
      <c r="M21" s="14"/>
      <c r="N21" s="14"/>
      <c r="O21" s="14"/>
      <c r="P21" s="14"/>
      <c r="Q21" s="14"/>
      <c r="R21" s="14"/>
      <c r="S21" s="14"/>
      <c r="T21" s="14"/>
      <c r="U21" s="14"/>
      <c r="V21" s="14"/>
      <c r="W21" s="14"/>
      <c r="X21" s="14"/>
      <c r="Y21" s="14"/>
      <c r="Z21" s="14"/>
    </row>
    <row r="22" spans="1:26" ht="15.75" customHeight="1" x14ac:dyDescent="0.25">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spans="1:26" ht="15.75" customHeight="1" x14ac:dyDescent="0.25">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spans="1:26" x14ac:dyDescent="0.25">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spans="1:26" x14ac:dyDescent="0.25">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spans="1:26" x14ac:dyDescent="0.25">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spans="1:26" x14ac:dyDescent="0.25">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spans="1:26" x14ac:dyDescent="0.25">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spans="1:26" x14ac:dyDescent="0.25">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spans="1:26" x14ac:dyDescent="0.25">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spans="1:26" x14ac:dyDescent="0.25">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spans="1:26" x14ac:dyDescent="0.25">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spans="1:26" x14ac:dyDescent="0.25">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spans="1:26" x14ac:dyDescent="0.25">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spans="1:26" x14ac:dyDescent="0.2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spans="1:26" x14ac:dyDescent="0.25">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spans="1:26" x14ac:dyDescent="0.25">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spans="1:26" x14ac:dyDescent="0.25">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spans="1:26" x14ac:dyDescent="0.25">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spans="1:26" x14ac:dyDescent="0.25">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spans="1:26" x14ac:dyDescent="0.25">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spans="1:26" x14ac:dyDescent="0.25">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spans="1:26" x14ac:dyDescent="0.25">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spans="1:26" x14ac:dyDescent="0.25">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spans="1:26" x14ac:dyDescent="0.2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spans="1:26" x14ac:dyDescent="0.25">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spans="1:26" x14ac:dyDescent="0.25">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spans="1:26" x14ac:dyDescent="0.25">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spans="1:26" x14ac:dyDescent="0.25">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spans="1:26" x14ac:dyDescent="0.25">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spans="1:26" x14ac:dyDescent="0.25">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spans="1:26" x14ac:dyDescent="0.25">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spans="1:26" x14ac:dyDescent="0.25">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spans="1:26" x14ac:dyDescent="0.25">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spans="1:26" x14ac:dyDescent="0.2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spans="1:26" x14ac:dyDescent="0.25">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spans="1:26" x14ac:dyDescent="0.25">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spans="1:26" x14ac:dyDescent="0.25">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spans="1:26" x14ac:dyDescent="0.25">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spans="1:26" x14ac:dyDescent="0.25">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spans="1:26" x14ac:dyDescent="0.25">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spans="1:26" x14ac:dyDescent="0.25">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spans="1:26" x14ac:dyDescent="0.25">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spans="1:26" x14ac:dyDescent="0.25">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spans="1:26" x14ac:dyDescent="0.2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spans="1:26" x14ac:dyDescent="0.25">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spans="1:26" x14ac:dyDescent="0.25">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spans="1:26" x14ac:dyDescent="0.25">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spans="1:26" x14ac:dyDescent="0.25">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spans="1:26" x14ac:dyDescent="0.25">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spans="1:26" x14ac:dyDescent="0.25">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spans="1:26" x14ac:dyDescent="0.25">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spans="1:26" x14ac:dyDescent="0.25">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spans="1:26" x14ac:dyDescent="0.25">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spans="1:26" x14ac:dyDescent="0.2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spans="1:26" x14ac:dyDescent="0.25">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spans="1:26" x14ac:dyDescent="0.25">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spans="1:26" x14ac:dyDescent="0.25">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spans="1:26" x14ac:dyDescent="0.25">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spans="1:26" x14ac:dyDescent="0.25">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spans="1:26" x14ac:dyDescent="0.25">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spans="1:26" x14ac:dyDescent="0.25">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spans="1:26" x14ac:dyDescent="0.25">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spans="1:26" x14ac:dyDescent="0.25">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spans="1:26" x14ac:dyDescent="0.2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spans="1:26" x14ac:dyDescent="0.25">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spans="1:26" x14ac:dyDescent="0.25">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spans="1:26" x14ac:dyDescent="0.25">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spans="1:26" x14ac:dyDescent="0.25">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spans="1:26" x14ac:dyDescent="0.25">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spans="1:26" x14ac:dyDescent="0.25">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spans="1:26" x14ac:dyDescent="0.25">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spans="1:26" x14ac:dyDescent="0.25">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spans="1:26" x14ac:dyDescent="0.25">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spans="1:26" x14ac:dyDescent="0.2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spans="1:26" x14ac:dyDescent="0.25">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spans="1:26" x14ac:dyDescent="0.25">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spans="1:26" x14ac:dyDescent="0.25">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spans="1:26" x14ac:dyDescent="0.25">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spans="1:26" x14ac:dyDescent="0.25">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spans="1:26" x14ac:dyDescent="0.25">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spans="1:26" x14ac:dyDescent="0.25">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spans="1:26" x14ac:dyDescent="0.25">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spans="1:26" x14ac:dyDescent="0.25">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spans="1:26" x14ac:dyDescent="0.2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spans="1:26" x14ac:dyDescent="0.25">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spans="1:26" x14ac:dyDescent="0.25">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spans="1:26" x14ac:dyDescent="0.25">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spans="1:26" x14ac:dyDescent="0.25">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spans="1:26" x14ac:dyDescent="0.25">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spans="1:26" x14ac:dyDescent="0.25">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spans="1:26" x14ac:dyDescent="0.25">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spans="1:26" x14ac:dyDescent="0.25">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spans="1:26" x14ac:dyDescent="0.25">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spans="1:26" x14ac:dyDescent="0.2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spans="1:26" x14ac:dyDescent="0.25">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spans="1:26" x14ac:dyDescent="0.25">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spans="1:26" x14ac:dyDescent="0.25">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spans="1:26" x14ac:dyDescent="0.25">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spans="1:26" x14ac:dyDescent="0.25">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spans="1:26" x14ac:dyDescent="0.25">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spans="1:26" x14ac:dyDescent="0.25">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spans="1:26" x14ac:dyDescent="0.25">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spans="1:26" x14ac:dyDescent="0.25">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spans="1:26" x14ac:dyDescent="0.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spans="1:26" x14ac:dyDescent="0.25">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spans="1:26" x14ac:dyDescent="0.25">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spans="1:26" x14ac:dyDescent="0.25">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spans="1:26" x14ac:dyDescent="0.25">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spans="1:26" x14ac:dyDescent="0.25">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spans="1:26" x14ac:dyDescent="0.25">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spans="1:26" x14ac:dyDescent="0.25">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spans="1:26" x14ac:dyDescent="0.25">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spans="1:26" x14ac:dyDescent="0.25">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spans="1:26" x14ac:dyDescent="0.2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spans="1:26" x14ac:dyDescent="0.25">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spans="1:26" x14ac:dyDescent="0.25">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spans="1:26" x14ac:dyDescent="0.25">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spans="1:26" x14ac:dyDescent="0.25">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spans="1:26" x14ac:dyDescent="0.25">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spans="1:26" x14ac:dyDescent="0.25">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spans="1:26" x14ac:dyDescent="0.25">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spans="1:26" x14ac:dyDescent="0.25">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spans="1:26" x14ac:dyDescent="0.25">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spans="1:26" x14ac:dyDescent="0.2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spans="1:26" x14ac:dyDescent="0.25">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spans="1:26" x14ac:dyDescent="0.25">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spans="1:26" x14ac:dyDescent="0.25">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spans="1:26" x14ac:dyDescent="0.25">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spans="1:26" x14ac:dyDescent="0.25">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spans="1:26" x14ac:dyDescent="0.25">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spans="1:26" x14ac:dyDescent="0.25">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spans="1:26" x14ac:dyDescent="0.25">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spans="1:26" x14ac:dyDescent="0.25">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spans="1:26" x14ac:dyDescent="0.2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spans="1:26" x14ac:dyDescent="0.25">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spans="1:26" x14ac:dyDescent="0.25">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spans="1:26" x14ac:dyDescent="0.25">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spans="1:26" x14ac:dyDescent="0.25">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spans="1:26" x14ac:dyDescent="0.25">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spans="1:26" x14ac:dyDescent="0.25">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spans="1:26" x14ac:dyDescent="0.25">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spans="1:26" x14ac:dyDescent="0.25">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spans="1:26" x14ac:dyDescent="0.25">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spans="1:26" x14ac:dyDescent="0.2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spans="1:26" x14ac:dyDescent="0.25">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spans="1:26" x14ac:dyDescent="0.25">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spans="1:26" x14ac:dyDescent="0.25">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spans="1:26" x14ac:dyDescent="0.25">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spans="1:26" x14ac:dyDescent="0.25">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spans="1:26" x14ac:dyDescent="0.25">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spans="1:26" x14ac:dyDescent="0.25">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spans="1:26" x14ac:dyDescent="0.25">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spans="1:26" x14ac:dyDescent="0.25">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spans="1:26" x14ac:dyDescent="0.2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spans="1:26" x14ac:dyDescent="0.25">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spans="1:26" x14ac:dyDescent="0.25">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spans="1:26" x14ac:dyDescent="0.25">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spans="1:26" x14ac:dyDescent="0.25">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spans="1:26" x14ac:dyDescent="0.25">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spans="1:26" x14ac:dyDescent="0.25">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spans="1:26" x14ac:dyDescent="0.25">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spans="1:26" x14ac:dyDescent="0.25">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spans="1:26" x14ac:dyDescent="0.25">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spans="1:26" x14ac:dyDescent="0.2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spans="1:26" x14ac:dyDescent="0.25">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spans="1:26" x14ac:dyDescent="0.25">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spans="1:26" x14ac:dyDescent="0.25">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spans="1:26" x14ac:dyDescent="0.25">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spans="1:26" x14ac:dyDescent="0.25">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spans="1:26" x14ac:dyDescent="0.25">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spans="1:26" x14ac:dyDescent="0.25">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spans="1:26" x14ac:dyDescent="0.25">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spans="1:26" x14ac:dyDescent="0.25">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spans="1:26" x14ac:dyDescent="0.2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spans="1:26" x14ac:dyDescent="0.25">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spans="1:26" x14ac:dyDescent="0.25">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spans="1:26" x14ac:dyDescent="0.25">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spans="1:26" x14ac:dyDescent="0.25">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spans="1:26" x14ac:dyDescent="0.25">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spans="1:26" x14ac:dyDescent="0.25">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spans="1:26" x14ac:dyDescent="0.25">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spans="1:26" x14ac:dyDescent="0.25">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spans="1:26" x14ac:dyDescent="0.25">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spans="1:26" x14ac:dyDescent="0.2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spans="1:26" x14ac:dyDescent="0.25">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spans="1:26" x14ac:dyDescent="0.25">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spans="1:26" x14ac:dyDescent="0.25">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spans="1:26" x14ac:dyDescent="0.25">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spans="1:26" x14ac:dyDescent="0.25">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spans="1:26" x14ac:dyDescent="0.25">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spans="1:26" x14ac:dyDescent="0.25">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spans="1:26" x14ac:dyDescent="0.25">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spans="1:26" x14ac:dyDescent="0.25">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spans="1:26" x14ac:dyDescent="0.2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spans="1:26" x14ac:dyDescent="0.25">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spans="1:26" x14ac:dyDescent="0.25">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spans="1:26" x14ac:dyDescent="0.25">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spans="1:26" x14ac:dyDescent="0.25">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spans="1:26" x14ac:dyDescent="0.25">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spans="1:26" x14ac:dyDescent="0.25">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spans="1:26" x14ac:dyDescent="0.25">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spans="1:26" x14ac:dyDescent="0.25">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spans="1:26" x14ac:dyDescent="0.25">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spans="1:26" x14ac:dyDescent="0.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spans="1:26" x14ac:dyDescent="0.25">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spans="1:26" x14ac:dyDescent="0.25">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spans="1:26" x14ac:dyDescent="0.25">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spans="1:26" x14ac:dyDescent="0.25">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spans="1:26" x14ac:dyDescent="0.25">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spans="1:26" x14ac:dyDescent="0.25">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spans="1:26" x14ac:dyDescent="0.25">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spans="1:26" x14ac:dyDescent="0.25">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spans="1:26" x14ac:dyDescent="0.25">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spans="1:26" x14ac:dyDescent="0.2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spans="1:26" x14ac:dyDescent="0.25">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spans="1:26" x14ac:dyDescent="0.25">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spans="1:26" x14ac:dyDescent="0.25">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spans="1:26" x14ac:dyDescent="0.25">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spans="1:26" x14ac:dyDescent="0.25">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spans="1:26" x14ac:dyDescent="0.25">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spans="1:26" x14ac:dyDescent="0.25">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spans="1:26" x14ac:dyDescent="0.25">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spans="1:26" x14ac:dyDescent="0.25">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spans="1:26" x14ac:dyDescent="0.2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spans="1:26" x14ac:dyDescent="0.25">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spans="1:26" x14ac:dyDescent="0.25">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spans="1:26" x14ac:dyDescent="0.25">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spans="1:26" x14ac:dyDescent="0.25">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spans="1:26" x14ac:dyDescent="0.25">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spans="1:26" x14ac:dyDescent="0.25">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spans="1:26" x14ac:dyDescent="0.25">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spans="1:26" x14ac:dyDescent="0.25">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spans="1:26" x14ac:dyDescent="0.25">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spans="1:26" x14ac:dyDescent="0.2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spans="1:26" x14ac:dyDescent="0.25">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spans="1:26" x14ac:dyDescent="0.25">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spans="1:26" x14ac:dyDescent="0.25">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spans="1:26" x14ac:dyDescent="0.25">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spans="1:26" x14ac:dyDescent="0.25">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spans="1:26" x14ac:dyDescent="0.25">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spans="1:26" x14ac:dyDescent="0.25">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spans="1:26" x14ac:dyDescent="0.25">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spans="1:26" x14ac:dyDescent="0.25">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spans="1:26" x14ac:dyDescent="0.2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spans="1:26" x14ac:dyDescent="0.25">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spans="1:26" x14ac:dyDescent="0.25">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spans="1:26" x14ac:dyDescent="0.25">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spans="1:26" x14ac:dyDescent="0.25">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spans="1:26" x14ac:dyDescent="0.25">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spans="1:26" x14ac:dyDescent="0.25">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spans="1:26" x14ac:dyDescent="0.25">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spans="1:26" x14ac:dyDescent="0.25">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spans="1:26" x14ac:dyDescent="0.25">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spans="1:26" x14ac:dyDescent="0.2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spans="1:26" x14ac:dyDescent="0.25">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spans="1:26" x14ac:dyDescent="0.25">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spans="1:26" x14ac:dyDescent="0.25">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spans="1:26" x14ac:dyDescent="0.25">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spans="1:26" x14ac:dyDescent="0.25">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spans="1:26" x14ac:dyDescent="0.25">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spans="1:26" x14ac:dyDescent="0.25">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spans="1:26" x14ac:dyDescent="0.25">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spans="1:26" x14ac:dyDescent="0.25">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spans="1:26" x14ac:dyDescent="0.2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spans="1:26" x14ac:dyDescent="0.25">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spans="1:26" x14ac:dyDescent="0.25">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spans="1:26" x14ac:dyDescent="0.25">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spans="1:26" x14ac:dyDescent="0.25">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spans="1:26" x14ac:dyDescent="0.25">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spans="1:26" x14ac:dyDescent="0.25">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spans="1:26" x14ac:dyDescent="0.25">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spans="1:26" x14ac:dyDescent="0.25">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spans="1:26" x14ac:dyDescent="0.25">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spans="1:26" x14ac:dyDescent="0.2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spans="1:26" x14ac:dyDescent="0.25">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spans="1:26" x14ac:dyDescent="0.25">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spans="1:26" x14ac:dyDescent="0.25">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spans="1:26" x14ac:dyDescent="0.25">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spans="1:26" x14ac:dyDescent="0.25">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spans="1:26" x14ac:dyDescent="0.25">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spans="1:26" x14ac:dyDescent="0.25">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spans="1:26" x14ac:dyDescent="0.25">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spans="1:26" x14ac:dyDescent="0.25">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spans="1:26" x14ac:dyDescent="0.2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spans="1:26" x14ac:dyDescent="0.25">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spans="1:26" x14ac:dyDescent="0.25">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spans="1:26" x14ac:dyDescent="0.25">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spans="1:26" x14ac:dyDescent="0.25">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spans="1:26" x14ac:dyDescent="0.25">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spans="1:26" x14ac:dyDescent="0.25">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spans="1:26" x14ac:dyDescent="0.25">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spans="1:26" x14ac:dyDescent="0.25">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spans="1:26" x14ac:dyDescent="0.25">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spans="1:26" x14ac:dyDescent="0.2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spans="1:26" x14ac:dyDescent="0.25">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spans="1:26" x14ac:dyDescent="0.25">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spans="1:26" x14ac:dyDescent="0.25">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spans="1:26" x14ac:dyDescent="0.25">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spans="1:26" x14ac:dyDescent="0.25">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spans="1:26" x14ac:dyDescent="0.25">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spans="1:26" x14ac:dyDescent="0.25">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spans="1:26" x14ac:dyDescent="0.25">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spans="1:26" x14ac:dyDescent="0.25">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x14ac:dyDescent="0.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x14ac:dyDescent="0.25">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spans="1:26" x14ac:dyDescent="0.25">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spans="1:26" x14ac:dyDescent="0.25">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spans="1:26" x14ac:dyDescent="0.25">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x14ac:dyDescent="0.25">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spans="1:26" x14ac:dyDescent="0.25">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spans="1:26" x14ac:dyDescent="0.25">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spans="1:26" x14ac:dyDescent="0.25">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spans="1:26" x14ac:dyDescent="0.25">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spans="1:26" x14ac:dyDescent="0.2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spans="1:26" x14ac:dyDescent="0.25">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spans="1:26" x14ac:dyDescent="0.25">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spans="1:26" x14ac:dyDescent="0.25">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spans="1:26" x14ac:dyDescent="0.25">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spans="1:26" x14ac:dyDescent="0.25">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spans="1:26" x14ac:dyDescent="0.25">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spans="1:26" x14ac:dyDescent="0.25">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spans="1:26" x14ac:dyDescent="0.25">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spans="1:26" x14ac:dyDescent="0.25">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spans="1:26" x14ac:dyDescent="0.2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spans="1:26" x14ac:dyDescent="0.25">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spans="1:26" x14ac:dyDescent="0.25">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spans="1:26" x14ac:dyDescent="0.25">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spans="1:26" x14ac:dyDescent="0.25">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spans="1:26" x14ac:dyDescent="0.25">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spans="1:26" x14ac:dyDescent="0.25">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spans="1:26" x14ac:dyDescent="0.25">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spans="1:26" x14ac:dyDescent="0.25">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spans="1:26" x14ac:dyDescent="0.25">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spans="1:26" x14ac:dyDescent="0.2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spans="1:26" x14ac:dyDescent="0.25">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spans="1:26" x14ac:dyDescent="0.25">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spans="1:26" x14ac:dyDescent="0.25">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spans="1:26" x14ac:dyDescent="0.25">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spans="1:26" x14ac:dyDescent="0.25">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spans="1:26" x14ac:dyDescent="0.25">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spans="1:26" x14ac:dyDescent="0.25">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spans="1:26" x14ac:dyDescent="0.25">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spans="1:26" x14ac:dyDescent="0.25">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spans="1:26" x14ac:dyDescent="0.2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spans="1:26" x14ac:dyDescent="0.25">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spans="1:26" x14ac:dyDescent="0.25">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spans="1:26" x14ac:dyDescent="0.25">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spans="1:26" x14ac:dyDescent="0.25">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spans="1:26" x14ac:dyDescent="0.25">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spans="1:26" x14ac:dyDescent="0.25">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spans="1:26" x14ac:dyDescent="0.25">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spans="1:26" x14ac:dyDescent="0.25">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spans="1:26" x14ac:dyDescent="0.25">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spans="1:26" x14ac:dyDescent="0.2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spans="1:26" x14ac:dyDescent="0.25">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spans="1:26" x14ac:dyDescent="0.25">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spans="1:26" x14ac:dyDescent="0.25">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spans="1:26" x14ac:dyDescent="0.25">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spans="1:26" x14ac:dyDescent="0.25">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spans="1:26" x14ac:dyDescent="0.25">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spans="1:26" x14ac:dyDescent="0.25">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spans="1:26" x14ac:dyDescent="0.25">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spans="1:26" x14ac:dyDescent="0.25">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spans="1:26" x14ac:dyDescent="0.2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spans="1:26" x14ac:dyDescent="0.25">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spans="1:26" x14ac:dyDescent="0.25">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spans="1:26" x14ac:dyDescent="0.25">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spans="1:26" x14ac:dyDescent="0.25">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spans="1:26" x14ac:dyDescent="0.25">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spans="1:26" x14ac:dyDescent="0.25">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spans="1:26" x14ac:dyDescent="0.25">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spans="1:26" x14ac:dyDescent="0.25">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spans="1:26" x14ac:dyDescent="0.25">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spans="1:26" x14ac:dyDescent="0.2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spans="1:26" x14ac:dyDescent="0.25">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x14ac:dyDescent="0.25">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spans="1:26" x14ac:dyDescent="0.25">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spans="1:26" x14ac:dyDescent="0.25">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x14ac:dyDescent="0.25">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x14ac:dyDescent="0.25">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x14ac:dyDescent="0.25">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x14ac:dyDescent="0.25">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x14ac:dyDescent="0.25">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x14ac:dyDescent="0.2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x14ac:dyDescent="0.25">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x14ac:dyDescent="0.25">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x14ac:dyDescent="0.25">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x14ac:dyDescent="0.25">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spans="1:26" x14ac:dyDescent="0.25">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x14ac:dyDescent="0.25">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x14ac:dyDescent="0.25">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x14ac:dyDescent="0.25">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x14ac:dyDescent="0.25">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x14ac:dyDescent="0.2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spans="1:26" x14ac:dyDescent="0.25">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spans="1:26" x14ac:dyDescent="0.25">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x14ac:dyDescent="0.25">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x14ac:dyDescent="0.25">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x14ac:dyDescent="0.25">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x14ac:dyDescent="0.25">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x14ac:dyDescent="0.25">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x14ac:dyDescent="0.25">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x14ac:dyDescent="0.25">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x14ac:dyDescent="0.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x14ac:dyDescent="0.25">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x14ac:dyDescent="0.25">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x14ac:dyDescent="0.25">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x14ac:dyDescent="0.25">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x14ac:dyDescent="0.25">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x14ac:dyDescent="0.25">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x14ac:dyDescent="0.25">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x14ac:dyDescent="0.25">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x14ac:dyDescent="0.25">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x14ac:dyDescent="0.2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x14ac:dyDescent="0.25">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x14ac:dyDescent="0.25">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x14ac:dyDescent="0.25">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x14ac:dyDescent="0.25">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x14ac:dyDescent="0.25">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x14ac:dyDescent="0.25">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x14ac:dyDescent="0.25">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x14ac:dyDescent="0.25">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x14ac:dyDescent="0.25">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x14ac:dyDescent="0.2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x14ac:dyDescent="0.25">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x14ac:dyDescent="0.25">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x14ac:dyDescent="0.25">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x14ac:dyDescent="0.25">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x14ac:dyDescent="0.25">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x14ac:dyDescent="0.25">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x14ac:dyDescent="0.25">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x14ac:dyDescent="0.25">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x14ac:dyDescent="0.25">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x14ac:dyDescent="0.2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x14ac:dyDescent="0.25">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x14ac:dyDescent="0.25">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x14ac:dyDescent="0.25">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x14ac:dyDescent="0.25">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x14ac:dyDescent="0.25">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x14ac:dyDescent="0.25">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x14ac:dyDescent="0.25">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x14ac:dyDescent="0.25">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x14ac:dyDescent="0.25">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x14ac:dyDescent="0.2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x14ac:dyDescent="0.25">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x14ac:dyDescent="0.25">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x14ac:dyDescent="0.25">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x14ac:dyDescent="0.25">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x14ac:dyDescent="0.25">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x14ac:dyDescent="0.25">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x14ac:dyDescent="0.25">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x14ac:dyDescent="0.25">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x14ac:dyDescent="0.25">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x14ac:dyDescent="0.2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x14ac:dyDescent="0.25">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x14ac:dyDescent="0.25">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x14ac:dyDescent="0.25">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x14ac:dyDescent="0.25">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x14ac:dyDescent="0.25">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x14ac:dyDescent="0.25">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x14ac:dyDescent="0.25">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x14ac:dyDescent="0.25">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x14ac:dyDescent="0.25">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x14ac:dyDescent="0.2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x14ac:dyDescent="0.25">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x14ac:dyDescent="0.25">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x14ac:dyDescent="0.25">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x14ac:dyDescent="0.25">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x14ac:dyDescent="0.25">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x14ac:dyDescent="0.25">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x14ac:dyDescent="0.25">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x14ac:dyDescent="0.25">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x14ac:dyDescent="0.25">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x14ac:dyDescent="0.2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x14ac:dyDescent="0.25">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x14ac:dyDescent="0.25">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x14ac:dyDescent="0.25">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x14ac:dyDescent="0.25">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x14ac:dyDescent="0.25">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x14ac:dyDescent="0.25">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x14ac:dyDescent="0.25">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x14ac:dyDescent="0.25">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x14ac:dyDescent="0.25">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x14ac:dyDescent="0.2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x14ac:dyDescent="0.25">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x14ac:dyDescent="0.25">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x14ac:dyDescent="0.25">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x14ac:dyDescent="0.25">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x14ac:dyDescent="0.25">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x14ac:dyDescent="0.25">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x14ac:dyDescent="0.25">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x14ac:dyDescent="0.25">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x14ac:dyDescent="0.25">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x14ac:dyDescent="0.2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x14ac:dyDescent="0.25">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x14ac:dyDescent="0.25">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x14ac:dyDescent="0.25">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x14ac:dyDescent="0.25">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x14ac:dyDescent="0.25">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x14ac:dyDescent="0.25">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x14ac:dyDescent="0.25">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x14ac:dyDescent="0.25">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x14ac:dyDescent="0.25">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x14ac:dyDescent="0.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x14ac:dyDescent="0.25">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x14ac:dyDescent="0.25">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x14ac:dyDescent="0.25">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x14ac:dyDescent="0.25">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x14ac:dyDescent="0.25">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x14ac:dyDescent="0.25">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x14ac:dyDescent="0.25">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x14ac:dyDescent="0.25">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x14ac:dyDescent="0.25">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x14ac:dyDescent="0.2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x14ac:dyDescent="0.25">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x14ac:dyDescent="0.25">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x14ac:dyDescent="0.25">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x14ac:dyDescent="0.25">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x14ac:dyDescent="0.25">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x14ac:dyDescent="0.25">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x14ac:dyDescent="0.25">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x14ac:dyDescent="0.25">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x14ac:dyDescent="0.25">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x14ac:dyDescent="0.2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x14ac:dyDescent="0.25">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x14ac:dyDescent="0.25">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x14ac:dyDescent="0.25">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x14ac:dyDescent="0.25">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x14ac:dyDescent="0.25">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x14ac:dyDescent="0.25">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x14ac:dyDescent="0.25">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x14ac:dyDescent="0.25">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x14ac:dyDescent="0.25">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x14ac:dyDescent="0.2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x14ac:dyDescent="0.25">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x14ac:dyDescent="0.25">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x14ac:dyDescent="0.25">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x14ac:dyDescent="0.25">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x14ac:dyDescent="0.25">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x14ac:dyDescent="0.25">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x14ac:dyDescent="0.25">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x14ac:dyDescent="0.25">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x14ac:dyDescent="0.25">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x14ac:dyDescent="0.2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x14ac:dyDescent="0.25">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x14ac:dyDescent="0.25">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x14ac:dyDescent="0.25">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x14ac:dyDescent="0.25">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x14ac:dyDescent="0.25">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x14ac:dyDescent="0.25">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x14ac:dyDescent="0.25">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x14ac:dyDescent="0.25">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x14ac:dyDescent="0.25">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x14ac:dyDescent="0.2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x14ac:dyDescent="0.25">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x14ac:dyDescent="0.25">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x14ac:dyDescent="0.25">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x14ac:dyDescent="0.25">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x14ac:dyDescent="0.25">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x14ac:dyDescent="0.25">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x14ac:dyDescent="0.25">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x14ac:dyDescent="0.25">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x14ac:dyDescent="0.25">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x14ac:dyDescent="0.2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x14ac:dyDescent="0.25">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x14ac:dyDescent="0.25">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x14ac:dyDescent="0.25">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x14ac:dyDescent="0.25">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x14ac:dyDescent="0.25">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x14ac:dyDescent="0.25">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x14ac:dyDescent="0.25">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x14ac:dyDescent="0.25">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x14ac:dyDescent="0.25">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x14ac:dyDescent="0.2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x14ac:dyDescent="0.25">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x14ac:dyDescent="0.25">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x14ac:dyDescent="0.25">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x14ac:dyDescent="0.25">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x14ac:dyDescent="0.25">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x14ac:dyDescent="0.25">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x14ac:dyDescent="0.25">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x14ac:dyDescent="0.25">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x14ac:dyDescent="0.25">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x14ac:dyDescent="0.2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x14ac:dyDescent="0.25">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x14ac:dyDescent="0.25">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x14ac:dyDescent="0.25">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x14ac:dyDescent="0.25">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x14ac:dyDescent="0.25">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x14ac:dyDescent="0.25">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x14ac:dyDescent="0.25">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x14ac:dyDescent="0.25">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x14ac:dyDescent="0.25">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x14ac:dyDescent="0.2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x14ac:dyDescent="0.25">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x14ac:dyDescent="0.25">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x14ac:dyDescent="0.25">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x14ac:dyDescent="0.25">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x14ac:dyDescent="0.25">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x14ac:dyDescent="0.25">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x14ac:dyDescent="0.25">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x14ac:dyDescent="0.25">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x14ac:dyDescent="0.25">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x14ac:dyDescent="0.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x14ac:dyDescent="0.25">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x14ac:dyDescent="0.25">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x14ac:dyDescent="0.25">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x14ac:dyDescent="0.25">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x14ac:dyDescent="0.25">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x14ac:dyDescent="0.25">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x14ac:dyDescent="0.25">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x14ac:dyDescent="0.25">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x14ac:dyDescent="0.25">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x14ac:dyDescent="0.2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x14ac:dyDescent="0.25">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x14ac:dyDescent="0.25">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x14ac:dyDescent="0.25">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x14ac:dyDescent="0.25">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x14ac:dyDescent="0.25">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x14ac:dyDescent="0.25">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x14ac:dyDescent="0.25">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x14ac:dyDescent="0.25">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x14ac:dyDescent="0.25">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x14ac:dyDescent="0.2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x14ac:dyDescent="0.25">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x14ac:dyDescent="0.25">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x14ac:dyDescent="0.25">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x14ac:dyDescent="0.25">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x14ac:dyDescent="0.25">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x14ac:dyDescent="0.25">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x14ac:dyDescent="0.25">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x14ac:dyDescent="0.25">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x14ac:dyDescent="0.25">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x14ac:dyDescent="0.2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x14ac:dyDescent="0.25">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x14ac:dyDescent="0.25">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x14ac:dyDescent="0.25">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x14ac:dyDescent="0.25">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x14ac:dyDescent="0.25">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x14ac:dyDescent="0.25">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x14ac:dyDescent="0.25">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x14ac:dyDescent="0.25">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x14ac:dyDescent="0.25">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x14ac:dyDescent="0.2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x14ac:dyDescent="0.25">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x14ac:dyDescent="0.25">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x14ac:dyDescent="0.25">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x14ac:dyDescent="0.25">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x14ac:dyDescent="0.25">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x14ac:dyDescent="0.25">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x14ac:dyDescent="0.25">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x14ac:dyDescent="0.25">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x14ac:dyDescent="0.25">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x14ac:dyDescent="0.2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x14ac:dyDescent="0.25">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x14ac:dyDescent="0.25">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x14ac:dyDescent="0.25">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x14ac:dyDescent="0.25">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x14ac:dyDescent="0.25">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x14ac:dyDescent="0.25">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x14ac:dyDescent="0.25">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x14ac:dyDescent="0.25">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x14ac:dyDescent="0.25">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x14ac:dyDescent="0.2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x14ac:dyDescent="0.25">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x14ac:dyDescent="0.25">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x14ac:dyDescent="0.25">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x14ac:dyDescent="0.25">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x14ac:dyDescent="0.25">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x14ac:dyDescent="0.25">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x14ac:dyDescent="0.25">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x14ac:dyDescent="0.25">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x14ac:dyDescent="0.25">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x14ac:dyDescent="0.2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x14ac:dyDescent="0.25">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x14ac:dyDescent="0.25">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x14ac:dyDescent="0.25">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x14ac:dyDescent="0.25">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x14ac:dyDescent="0.25">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x14ac:dyDescent="0.25">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x14ac:dyDescent="0.25">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x14ac:dyDescent="0.25">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x14ac:dyDescent="0.25">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x14ac:dyDescent="0.2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x14ac:dyDescent="0.25">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x14ac:dyDescent="0.25">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x14ac:dyDescent="0.25">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x14ac:dyDescent="0.25">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x14ac:dyDescent="0.25">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x14ac:dyDescent="0.25">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x14ac:dyDescent="0.25">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x14ac:dyDescent="0.25">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x14ac:dyDescent="0.25">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x14ac:dyDescent="0.2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x14ac:dyDescent="0.25">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x14ac:dyDescent="0.25">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x14ac:dyDescent="0.25">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x14ac:dyDescent="0.25">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x14ac:dyDescent="0.25">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x14ac:dyDescent="0.25">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x14ac:dyDescent="0.25">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x14ac:dyDescent="0.25">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x14ac:dyDescent="0.25">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x14ac:dyDescent="0.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x14ac:dyDescent="0.25">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x14ac:dyDescent="0.25">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x14ac:dyDescent="0.25">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x14ac:dyDescent="0.25">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x14ac:dyDescent="0.25">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x14ac:dyDescent="0.25">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x14ac:dyDescent="0.25">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x14ac:dyDescent="0.25">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x14ac:dyDescent="0.25">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x14ac:dyDescent="0.2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x14ac:dyDescent="0.25">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x14ac:dyDescent="0.25">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x14ac:dyDescent="0.25">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x14ac:dyDescent="0.25">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x14ac:dyDescent="0.25">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x14ac:dyDescent="0.25">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x14ac:dyDescent="0.25">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x14ac:dyDescent="0.25">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x14ac:dyDescent="0.25">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x14ac:dyDescent="0.2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x14ac:dyDescent="0.25">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x14ac:dyDescent="0.25">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x14ac:dyDescent="0.25">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x14ac:dyDescent="0.25">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x14ac:dyDescent="0.25">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x14ac:dyDescent="0.25">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x14ac:dyDescent="0.25">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x14ac:dyDescent="0.25">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x14ac:dyDescent="0.25">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x14ac:dyDescent="0.2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x14ac:dyDescent="0.25">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x14ac:dyDescent="0.25">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x14ac:dyDescent="0.25">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x14ac:dyDescent="0.25">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x14ac:dyDescent="0.25">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x14ac:dyDescent="0.25">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x14ac:dyDescent="0.25">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x14ac:dyDescent="0.25">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x14ac:dyDescent="0.25">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x14ac:dyDescent="0.2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x14ac:dyDescent="0.25">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x14ac:dyDescent="0.25">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x14ac:dyDescent="0.25">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x14ac:dyDescent="0.25">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x14ac:dyDescent="0.25">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x14ac:dyDescent="0.25">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x14ac:dyDescent="0.25">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x14ac:dyDescent="0.25">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x14ac:dyDescent="0.25">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x14ac:dyDescent="0.2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x14ac:dyDescent="0.25">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x14ac:dyDescent="0.25">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x14ac:dyDescent="0.25">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x14ac:dyDescent="0.25">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x14ac:dyDescent="0.25">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x14ac:dyDescent="0.25">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x14ac:dyDescent="0.25">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x14ac:dyDescent="0.25">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x14ac:dyDescent="0.25">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x14ac:dyDescent="0.2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x14ac:dyDescent="0.25">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x14ac:dyDescent="0.25">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x14ac:dyDescent="0.25">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x14ac:dyDescent="0.25">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x14ac:dyDescent="0.25">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x14ac:dyDescent="0.25">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x14ac:dyDescent="0.25">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x14ac:dyDescent="0.25">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x14ac:dyDescent="0.25">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x14ac:dyDescent="0.2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x14ac:dyDescent="0.25">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x14ac:dyDescent="0.25">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x14ac:dyDescent="0.25">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x14ac:dyDescent="0.25">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x14ac:dyDescent="0.25">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x14ac:dyDescent="0.25">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x14ac:dyDescent="0.25">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x14ac:dyDescent="0.25">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x14ac:dyDescent="0.25">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x14ac:dyDescent="0.2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x14ac:dyDescent="0.25">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x14ac:dyDescent="0.25">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x14ac:dyDescent="0.25">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x14ac:dyDescent="0.25">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x14ac:dyDescent="0.25">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x14ac:dyDescent="0.25">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x14ac:dyDescent="0.25">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x14ac:dyDescent="0.25">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x14ac:dyDescent="0.25">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x14ac:dyDescent="0.2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x14ac:dyDescent="0.25">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x14ac:dyDescent="0.25">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x14ac:dyDescent="0.25">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x14ac:dyDescent="0.25">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x14ac:dyDescent="0.25">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x14ac:dyDescent="0.25">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x14ac:dyDescent="0.25">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x14ac:dyDescent="0.25">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x14ac:dyDescent="0.25">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x14ac:dyDescent="0.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x14ac:dyDescent="0.25">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x14ac:dyDescent="0.25">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x14ac:dyDescent="0.25">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x14ac:dyDescent="0.25">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x14ac:dyDescent="0.25">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x14ac:dyDescent="0.25">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x14ac:dyDescent="0.25">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x14ac:dyDescent="0.25">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x14ac:dyDescent="0.25">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x14ac:dyDescent="0.2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x14ac:dyDescent="0.25">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x14ac:dyDescent="0.25">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x14ac:dyDescent="0.25">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x14ac:dyDescent="0.25">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x14ac:dyDescent="0.25">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x14ac:dyDescent="0.25">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x14ac:dyDescent="0.25">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x14ac:dyDescent="0.25">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x14ac:dyDescent="0.25">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x14ac:dyDescent="0.2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x14ac:dyDescent="0.25">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x14ac:dyDescent="0.25">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x14ac:dyDescent="0.25">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x14ac:dyDescent="0.25">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x14ac:dyDescent="0.25">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x14ac:dyDescent="0.25">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x14ac:dyDescent="0.25">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x14ac:dyDescent="0.25">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x14ac:dyDescent="0.25">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x14ac:dyDescent="0.2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x14ac:dyDescent="0.25">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x14ac:dyDescent="0.25">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x14ac:dyDescent="0.25">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x14ac:dyDescent="0.25">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x14ac:dyDescent="0.25">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x14ac:dyDescent="0.25">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x14ac:dyDescent="0.25">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x14ac:dyDescent="0.25">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x14ac:dyDescent="0.25">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x14ac:dyDescent="0.2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x14ac:dyDescent="0.25">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x14ac:dyDescent="0.25">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x14ac:dyDescent="0.25">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x14ac:dyDescent="0.25">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x14ac:dyDescent="0.25">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x14ac:dyDescent="0.25">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x14ac:dyDescent="0.25">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x14ac:dyDescent="0.25">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x14ac:dyDescent="0.25">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x14ac:dyDescent="0.2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x14ac:dyDescent="0.25">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x14ac:dyDescent="0.25">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x14ac:dyDescent="0.25">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x14ac:dyDescent="0.25">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x14ac:dyDescent="0.25">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x14ac:dyDescent="0.25">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x14ac:dyDescent="0.25">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x14ac:dyDescent="0.25">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x14ac:dyDescent="0.25">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x14ac:dyDescent="0.2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x14ac:dyDescent="0.25">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x14ac:dyDescent="0.25">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x14ac:dyDescent="0.25">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x14ac:dyDescent="0.25">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x14ac:dyDescent="0.25">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x14ac:dyDescent="0.25">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x14ac:dyDescent="0.25">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x14ac:dyDescent="0.25">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x14ac:dyDescent="0.25">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x14ac:dyDescent="0.2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x14ac:dyDescent="0.25">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x14ac:dyDescent="0.25">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x14ac:dyDescent="0.25">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x14ac:dyDescent="0.25">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x14ac:dyDescent="0.25">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x14ac:dyDescent="0.25">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x14ac:dyDescent="0.25">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x14ac:dyDescent="0.25">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x14ac:dyDescent="0.25">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x14ac:dyDescent="0.2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x14ac:dyDescent="0.25">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x14ac:dyDescent="0.25">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x14ac:dyDescent="0.25">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x14ac:dyDescent="0.25">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x14ac:dyDescent="0.25">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x14ac:dyDescent="0.25">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x14ac:dyDescent="0.25">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x14ac:dyDescent="0.25">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x14ac:dyDescent="0.25">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x14ac:dyDescent="0.2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x14ac:dyDescent="0.25">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x14ac:dyDescent="0.25">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x14ac:dyDescent="0.25">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x14ac:dyDescent="0.25">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x14ac:dyDescent="0.25">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x14ac:dyDescent="0.25">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x14ac:dyDescent="0.25">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x14ac:dyDescent="0.25">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x14ac:dyDescent="0.25">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x14ac:dyDescent="0.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x14ac:dyDescent="0.25">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x14ac:dyDescent="0.25">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x14ac:dyDescent="0.25">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x14ac:dyDescent="0.25">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x14ac:dyDescent="0.25">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x14ac:dyDescent="0.25">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x14ac:dyDescent="0.25">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x14ac:dyDescent="0.25">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x14ac:dyDescent="0.25">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x14ac:dyDescent="0.2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x14ac:dyDescent="0.25">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x14ac:dyDescent="0.25">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x14ac:dyDescent="0.25">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x14ac:dyDescent="0.25">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x14ac:dyDescent="0.25">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x14ac:dyDescent="0.25">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x14ac:dyDescent="0.25">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x14ac:dyDescent="0.25">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x14ac:dyDescent="0.25">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x14ac:dyDescent="0.2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x14ac:dyDescent="0.25">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x14ac:dyDescent="0.25">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x14ac:dyDescent="0.25">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x14ac:dyDescent="0.25">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x14ac:dyDescent="0.25">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x14ac:dyDescent="0.25">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x14ac:dyDescent="0.25">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x14ac:dyDescent="0.25">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x14ac:dyDescent="0.25">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x14ac:dyDescent="0.2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x14ac:dyDescent="0.25">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x14ac:dyDescent="0.25">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x14ac:dyDescent="0.25">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x14ac:dyDescent="0.25">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x14ac:dyDescent="0.25">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x14ac:dyDescent="0.25">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x14ac:dyDescent="0.25">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x14ac:dyDescent="0.25">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x14ac:dyDescent="0.25">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x14ac:dyDescent="0.2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x14ac:dyDescent="0.25">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x14ac:dyDescent="0.25">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x14ac:dyDescent="0.25">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x14ac:dyDescent="0.25">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x14ac:dyDescent="0.25">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x14ac:dyDescent="0.25">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x14ac:dyDescent="0.25">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x14ac:dyDescent="0.25">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x14ac:dyDescent="0.25">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x14ac:dyDescent="0.2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x14ac:dyDescent="0.25">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x14ac:dyDescent="0.25">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x14ac:dyDescent="0.25">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x14ac:dyDescent="0.25">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x14ac:dyDescent="0.25">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x14ac:dyDescent="0.25">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x14ac:dyDescent="0.25">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x14ac:dyDescent="0.25">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x14ac:dyDescent="0.25">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x14ac:dyDescent="0.2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x14ac:dyDescent="0.25">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x14ac:dyDescent="0.25">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x14ac:dyDescent="0.25">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x14ac:dyDescent="0.25">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x14ac:dyDescent="0.25">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x14ac:dyDescent="0.25">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x14ac:dyDescent="0.25">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x14ac:dyDescent="0.25">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x14ac:dyDescent="0.25">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x14ac:dyDescent="0.2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x14ac:dyDescent="0.25">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x14ac:dyDescent="0.25">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x14ac:dyDescent="0.25">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spans="1:26" x14ac:dyDescent="0.25">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sheetData>
  <mergeCells count="11">
    <mergeCell ref="E11:E13"/>
    <mergeCell ref="F11:F13"/>
    <mergeCell ref="E14:E18"/>
    <mergeCell ref="F14:F18"/>
    <mergeCell ref="B11:C11"/>
    <mergeCell ref="B13:B15"/>
    <mergeCell ref="C13:C15"/>
    <mergeCell ref="B16:B18"/>
    <mergeCell ref="C16:C18"/>
    <mergeCell ref="B19:B21"/>
    <mergeCell ref="C19:C21"/>
  </mergeCells>
  <pageMargins left="0.7" right="0.7" top="0.75" bottom="0.75" header="0.3" footer="0.3"/>
  <pageSetup paperSize="9" orientation="portrait" horizontalDpi="4294967293"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1"/>
  <sheetViews>
    <sheetView tabSelected="1" topLeftCell="A3" workbookViewId="0">
      <selection activeCell="B16" sqref="B16"/>
    </sheetView>
  </sheetViews>
  <sheetFormatPr baseColWidth="10" defaultColWidth="12.5703125" defaultRowHeight="15.75" customHeight="1" x14ac:dyDescent="0.2"/>
  <cols>
    <col min="1" max="1" width="8.140625" bestFit="1" customWidth="1"/>
    <col min="2" max="2" width="55.42578125" bestFit="1" customWidth="1"/>
    <col min="3" max="3" width="15.140625" customWidth="1"/>
    <col min="4" max="4" width="26.85546875" bestFit="1" customWidth="1"/>
    <col min="5" max="5" width="16.5703125" bestFit="1" customWidth="1"/>
    <col min="6" max="6" width="24.28515625" bestFit="1" customWidth="1"/>
  </cols>
  <sheetData>
    <row r="1" spans="1:26" ht="15.75" customHeight="1" x14ac:dyDescent="0.25">
      <c r="A1" s="30" t="s">
        <v>19</v>
      </c>
      <c r="B1" s="30" t="s">
        <v>76</v>
      </c>
      <c r="C1" s="30" t="s">
        <v>91</v>
      </c>
      <c r="D1" s="31" t="s">
        <v>92</v>
      </c>
      <c r="E1" s="31" t="s">
        <v>78</v>
      </c>
      <c r="F1" s="14"/>
      <c r="G1" s="14"/>
      <c r="H1" s="14"/>
      <c r="I1" s="14"/>
      <c r="J1" s="14"/>
      <c r="K1" s="14"/>
      <c r="L1" s="14"/>
      <c r="M1" s="14"/>
      <c r="N1" s="14"/>
      <c r="O1" s="14"/>
      <c r="P1" s="14"/>
      <c r="Q1" s="14"/>
      <c r="R1" s="14"/>
      <c r="S1" s="14"/>
      <c r="T1" s="14"/>
      <c r="U1" s="14"/>
      <c r="V1" s="14"/>
      <c r="W1" s="14"/>
      <c r="X1" s="14"/>
      <c r="Y1" s="14"/>
      <c r="Z1" s="14"/>
    </row>
    <row r="2" spans="1:26" ht="15.75" customHeight="1" x14ac:dyDescent="0.25">
      <c r="A2" s="12">
        <v>5.0999999999999996</v>
      </c>
      <c r="B2" s="34" t="s">
        <v>101</v>
      </c>
      <c r="C2" s="12">
        <v>0</v>
      </c>
      <c r="D2" s="32">
        <v>0</v>
      </c>
      <c r="E2" s="32">
        <f t="shared" ref="E2:E5" si="0">C2*D2</f>
        <v>0</v>
      </c>
      <c r="F2" s="14"/>
      <c r="G2" s="14"/>
      <c r="H2" s="14"/>
      <c r="I2" s="14"/>
      <c r="J2" s="14"/>
      <c r="K2" s="14"/>
      <c r="L2" s="14"/>
      <c r="M2" s="14"/>
      <c r="N2" s="14"/>
      <c r="O2" s="14"/>
      <c r="P2" s="14"/>
      <c r="Q2" s="14"/>
      <c r="R2" s="14"/>
      <c r="S2" s="14"/>
      <c r="T2" s="14"/>
      <c r="U2" s="14"/>
      <c r="V2" s="14"/>
      <c r="W2" s="14"/>
      <c r="X2" s="14"/>
      <c r="Y2" s="14"/>
      <c r="Z2" s="14"/>
    </row>
    <row r="3" spans="1:26" ht="15.75" customHeight="1" x14ac:dyDescent="0.25">
      <c r="A3" s="12">
        <v>5.2</v>
      </c>
      <c r="B3" s="6" t="s">
        <v>93</v>
      </c>
      <c r="C3" s="12">
        <v>10</v>
      </c>
      <c r="D3" s="32">
        <v>520000</v>
      </c>
      <c r="E3" s="32">
        <f t="shared" si="0"/>
        <v>5200000</v>
      </c>
      <c r="F3" s="14"/>
      <c r="G3" s="14"/>
      <c r="H3" s="14"/>
      <c r="I3" s="14"/>
      <c r="J3" s="14"/>
      <c r="K3" s="14"/>
      <c r="L3" s="14"/>
      <c r="M3" s="14"/>
      <c r="N3" s="14"/>
      <c r="O3" s="14"/>
      <c r="P3" s="14"/>
      <c r="Q3" s="14"/>
      <c r="R3" s="14"/>
      <c r="S3" s="14"/>
      <c r="T3" s="14"/>
      <c r="U3" s="14"/>
      <c r="V3" s="14"/>
      <c r="W3" s="14"/>
      <c r="X3" s="14"/>
      <c r="Y3" s="14"/>
      <c r="Z3" s="14"/>
    </row>
    <row r="4" spans="1:26" ht="15.75" customHeight="1" x14ac:dyDescent="0.25">
      <c r="A4" s="12">
        <v>5.3</v>
      </c>
      <c r="B4" s="34" t="s">
        <v>100</v>
      </c>
      <c r="C4" s="12">
        <v>10</v>
      </c>
      <c r="D4" s="32"/>
      <c r="E4" s="32"/>
      <c r="F4" s="14"/>
      <c r="G4" s="14"/>
      <c r="H4" s="14"/>
      <c r="I4" s="14"/>
      <c r="J4" s="14"/>
      <c r="K4" s="14"/>
      <c r="L4" s="14"/>
      <c r="M4" s="14"/>
      <c r="N4" s="14"/>
      <c r="O4" s="14"/>
      <c r="P4" s="14"/>
      <c r="Q4" s="14"/>
      <c r="R4" s="14"/>
      <c r="S4" s="14"/>
      <c r="T4" s="14"/>
      <c r="U4" s="14"/>
      <c r="V4" s="14"/>
      <c r="W4" s="14"/>
      <c r="X4" s="14"/>
      <c r="Y4" s="14"/>
      <c r="Z4" s="14"/>
    </row>
    <row r="5" spans="1:26" ht="15.75" customHeight="1" x14ac:dyDescent="0.25">
      <c r="A5" s="12">
        <v>5.4</v>
      </c>
      <c r="B5" s="6" t="s">
        <v>94</v>
      </c>
      <c r="C5" s="12">
        <v>10</v>
      </c>
      <c r="D5" s="29">
        <v>100000</v>
      </c>
      <c r="E5" s="32">
        <f t="shared" si="0"/>
        <v>1000000</v>
      </c>
      <c r="F5" s="14"/>
      <c r="G5" s="14"/>
      <c r="H5" s="14"/>
      <c r="I5" s="14"/>
      <c r="J5" s="14"/>
      <c r="K5" s="14"/>
      <c r="L5" s="14"/>
      <c r="M5" s="14"/>
      <c r="N5" s="14"/>
      <c r="O5" s="14"/>
      <c r="P5" s="14"/>
      <c r="Q5" s="14"/>
      <c r="R5" s="14"/>
      <c r="S5" s="14"/>
      <c r="T5" s="14"/>
      <c r="U5" s="14"/>
      <c r="V5" s="14"/>
      <c r="W5" s="14"/>
      <c r="X5" s="14"/>
      <c r="Y5" s="14"/>
      <c r="Z5" s="14"/>
    </row>
    <row r="6" spans="1:26" ht="15.75" customHeight="1" x14ac:dyDescent="0.25">
      <c r="A6" s="6" t="s">
        <v>73</v>
      </c>
      <c r="B6" s="6" t="s">
        <v>95</v>
      </c>
      <c r="C6" s="3" t="s">
        <v>75</v>
      </c>
      <c r="D6" s="33" t="s">
        <v>75</v>
      </c>
      <c r="E6" s="32">
        <f>SUM(E2:E5)</f>
        <v>6200000</v>
      </c>
      <c r="F6" s="14"/>
      <c r="G6" s="14"/>
      <c r="H6" s="14"/>
      <c r="I6" s="14"/>
      <c r="J6" s="14"/>
      <c r="K6" s="14"/>
      <c r="L6" s="14"/>
      <c r="M6" s="14"/>
      <c r="N6" s="14"/>
      <c r="O6" s="14"/>
      <c r="P6" s="14"/>
      <c r="Q6" s="14"/>
      <c r="R6" s="14"/>
      <c r="S6" s="14"/>
      <c r="T6" s="14"/>
      <c r="U6" s="14"/>
      <c r="V6" s="14"/>
      <c r="W6" s="14"/>
      <c r="X6" s="14"/>
      <c r="Y6" s="14"/>
      <c r="Z6" s="14"/>
    </row>
    <row r="7" spans="1:26" ht="15.75" customHeight="1" x14ac:dyDescent="0.25">
      <c r="A7" s="14"/>
      <c r="B7" s="14"/>
      <c r="C7" s="14"/>
      <c r="D7" s="14"/>
      <c r="E7" s="14"/>
      <c r="F7" s="14"/>
      <c r="G7" s="14"/>
      <c r="H7" s="14"/>
      <c r="I7" s="14"/>
      <c r="J7" s="14"/>
      <c r="K7" s="14"/>
      <c r="L7" s="14"/>
      <c r="M7" s="14"/>
      <c r="N7" s="14"/>
      <c r="O7" s="14"/>
      <c r="P7" s="14"/>
      <c r="Q7" s="14"/>
      <c r="R7" s="14"/>
      <c r="S7" s="14"/>
      <c r="T7" s="14"/>
      <c r="U7" s="14"/>
      <c r="V7" s="14"/>
      <c r="W7" s="14"/>
      <c r="X7" s="14"/>
      <c r="Y7" s="14"/>
      <c r="Z7" s="14"/>
    </row>
    <row r="8" spans="1:26" ht="15.75" customHeight="1" x14ac:dyDescent="0.25">
      <c r="A8" s="14"/>
      <c r="B8" s="14"/>
      <c r="C8" s="14"/>
      <c r="D8" s="14"/>
      <c r="E8" s="14"/>
      <c r="F8" s="14"/>
      <c r="G8" s="14"/>
      <c r="H8" s="14"/>
      <c r="I8" s="14"/>
      <c r="J8" s="14"/>
      <c r="K8" s="14"/>
      <c r="L8" s="14"/>
      <c r="M8" s="14"/>
      <c r="N8" s="14"/>
      <c r="O8" s="14"/>
      <c r="P8" s="14"/>
      <c r="Q8" s="14"/>
      <c r="R8" s="14"/>
      <c r="S8" s="14"/>
      <c r="T8" s="14"/>
      <c r="U8" s="14"/>
      <c r="V8" s="14"/>
      <c r="W8" s="14"/>
      <c r="X8" s="14"/>
      <c r="Y8" s="14"/>
      <c r="Z8" s="14"/>
    </row>
    <row r="9" spans="1:26" ht="15.75" customHeight="1" x14ac:dyDescent="0.25">
      <c r="A9" s="14"/>
      <c r="B9" s="14"/>
      <c r="C9" s="14"/>
      <c r="D9" s="40" t="s">
        <v>136</v>
      </c>
      <c r="E9" s="40" t="s">
        <v>137</v>
      </c>
      <c r="F9" s="40" t="s">
        <v>136</v>
      </c>
      <c r="G9" s="40" t="s">
        <v>137</v>
      </c>
      <c r="H9" s="14"/>
      <c r="I9" s="14"/>
      <c r="J9" s="14"/>
      <c r="K9" s="14"/>
      <c r="L9" s="14"/>
      <c r="M9" s="14"/>
      <c r="N9" s="14"/>
      <c r="O9" s="14"/>
      <c r="P9" s="14"/>
      <c r="Q9" s="14"/>
      <c r="R9" s="14"/>
      <c r="S9" s="14"/>
      <c r="T9" s="14"/>
      <c r="U9" s="14"/>
      <c r="V9" s="14"/>
      <c r="W9" s="14"/>
      <c r="X9" s="14"/>
      <c r="Y9" s="14"/>
      <c r="Z9" s="14"/>
    </row>
    <row r="10" spans="1:26" ht="15.75" customHeight="1" x14ac:dyDescent="0.25">
      <c r="A10" s="14"/>
      <c r="B10" s="14"/>
      <c r="C10" s="14"/>
      <c r="D10" s="41" t="s">
        <v>138</v>
      </c>
      <c r="E10" s="41">
        <v>150000</v>
      </c>
      <c r="F10" s="41" t="s">
        <v>138</v>
      </c>
      <c r="G10" s="41">
        <v>150000</v>
      </c>
      <c r="H10" s="14"/>
      <c r="I10" s="14"/>
      <c r="J10" s="14"/>
      <c r="K10" s="14"/>
      <c r="L10" s="14"/>
      <c r="M10" s="14"/>
      <c r="N10" s="14"/>
      <c r="O10" s="14"/>
      <c r="P10" s="14"/>
      <c r="Q10" s="14"/>
      <c r="R10" s="14"/>
      <c r="S10" s="14"/>
      <c r="T10" s="14"/>
      <c r="U10" s="14"/>
      <c r="V10" s="14"/>
      <c r="W10" s="14"/>
      <c r="X10" s="14"/>
      <c r="Y10" s="14"/>
      <c r="Z10" s="14"/>
    </row>
    <row r="11" spans="1:26" ht="15.75" customHeight="1" x14ac:dyDescent="0.25">
      <c r="A11" s="14"/>
      <c r="B11" s="14"/>
      <c r="C11" s="14"/>
      <c r="D11" s="41" t="s">
        <v>139</v>
      </c>
      <c r="E11" s="41">
        <v>250000</v>
      </c>
      <c r="F11" s="41" t="s">
        <v>139</v>
      </c>
      <c r="G11" s="41">
        <v>250000</v>
      </c>
      <c r="H11" s="14"/>
      <c r="I11" s="14"/>
      <c r="J11" s="14"/>
      <c r="K11" s="14"/>
      <c r="L11" s="14"/>
      <c r="M11" s="14"/>
      <c r="N11" s="14"/>
      <c r="O11" s="14"/>
      <c r="P11" s="14"/>
      <c r="Q11" s="14"/>
      <c r="R11" s="14"/>
      <c r="S11" s="14"/>
      <c r="T11" s="14"/>
      <c r="U11" s="14"/>
      <c r="V11" s="14"/>
      <c r="W11" s="14"/>
      <c r="X11" s="14"/>
      <c r="Y11" s="14"/>
      <c r="Z11" s="14"/>
    </row>
    <row r="12" spans="1:26" ht="15.75" customHeight="1" x14ac:dyDescent="0.25">
      <c r="A12" s="14"/>
      <c r="B12" s="14"/>
      <c r="C12" s="14"/>
      <c r="D12" s="41" t="s">
        <v>140</v>
      </c>
      <c r="E12" s="41">
        <v>150000</v>
      </c>
      <c r="F12" s="41" t="s">
        <v>140</v>
      </c>
      <c r="G12" s="41">
        <v>150000</v>
      </c>
      <c r="H12" s="14"/>
      <c r="I12" s="14"/>
      <c r="J12" s="14"/>
      <c r="K12" s="14"/>
      <c r="L12" s="14"/>
      <c r="M12" s="14"/>
      <c r="N12" s="14"/>
      <c r="O12" s="14"/>
      <c r="P12" s="14"/>
      <c r="Q12" s="14"/>
      <c r="R12" s="14"/>
      <c r="S12" s="14"/>
      <c r="T12" s="14"/>
      <c r="U12" s="14"/>
      <c r="V12" s="14"/>
      <c r="W12" s="14"/>
      <c r="X12" s="14"/>
      <c r="Y12" s="14"/>
      <c r="Z12" s="14"/>
    </row>
    <row r="13" spans="1:26" ht="15.75" customHeight="1" x14ac:dyDescent="0.25">
      <c r="A13" s="14"/>
      <c r="B13" s="14"/>
      <c r="C13" s="14"/>
      <c r="D13" s="14"/>
      <c r="E13" s="14"/>
      <c r="F13" s="14"/>
      <c r="G13" s="14"/>
      <c r="H13" s="14"/>
      <c r="I13" s="14"/>
      <c r="J13" s="14"/>
      <c r="K13" s="14"/>
      <c r="L13" s="14"/>
      <c r="M13" s="14"/>
      <c r="N13" s="14"/>
      <c r="O13" s="14"/>
      <c r="P13" s="14"/>
      <c r="Q13" s="14"/>
      <c r="R13" s="14"/>
      <c r="S13" s="14"/>
      <c r="T13" s="14"/>
      <c r="U13" s="14"/>
      <c r="V13" s="14"/>
      <c r="W13" s="14"/>
      <c r="X13" s="14"/>
      <c r="Y13" s="14"/>
      <c r="Z13" s="14"/>
    </row>
    <row r="14" spans="1:26" ht="15.75" customHeight="1" x14ac:dyDescent="0.25">
      <c r="A14" s="14"/>
      <c r="B14" s="18" t="s">
        <v>96</v>
      </c>
      <c r="C14" s="14"/>
      <c r="D14" s="40" t="s">
        <v>141</v>
      </c>
      <c r="E14" s="40" t="s">
        <v>142</v>
      </c>
      <c r="F14" s="40" t="s">
        <v>141</v>
      </c>
      <c r="G14" s="40" t="s">
        <v>142</v>
      </c>
      <c r="H14" s="14"/>
      <c r="I14" s="14"/>
      <c r="J14" s="14"/>
      <c r="K14" s="14"/>
      <c r="L14" s="14"/>
      <c r="M14" s="14"/>
      <c r="N14" s="14"/>
      <c r="O14" s="14"/>
      <c r="P14" s="14"/>
      <c r="Q14" s="14"/>
      <c r="R14" s="14"/>
      <c r="S14" s="14"/>
      <c r="T14" s="14"/>
      <c r="U14" s="14"/>
      <c r="V14" s="14"/>
      <c r="W14" s="14"/>
      <c r="X14" s="14"/>
      <c r="Y14" s="14"/>
      <c r="Z14" s="14"/>
    </row>
    <row r="15" spans="1:26" ht="15.75" customHeight="1" x14ac:dyDescent="0.25">
      <c r="A15" s="14"/>
      <c r="B15" s="29">
        <f>44317000-20000000</f>
        <v>24317000</v>
      </c>
      <c r="C15" s="14"/>
      <c r="D15" s="41" t="s">
        <v>143</v>
      </c>
      <c r="E15" s="41">
        <v>5000</v>
      </c>
      <c r="F15" s="41" t="s">
        <v>143</v>
      </c>
      <c r="G15" s="41">
        <v>5000</v>
      </c>
      <c r="H15" s="14"/>
      <c r="I15" s="14"/>
      <c r="J15" s="14"/>
      <c r="K15" s="14"/>
      <c r="L15" s="14"/>
      <c r="M15" s="14"/>
      <c r="N15" s="14"/>
      <c r="O15" s="14"/>
      <c r="P15" s="14"/>
      <c r="Q15" s="14"/>
      <c r="R15" s="14"/>
      <c r="S15" s="14"/>
      <c r="T15" s="14"/>
      <c r="U15" s="14"/>
      <c r="V15" s="14"/>
      <c r="W15" s="14"/>
      <c r="X15" s="14"/>
      <c r="Y15" s="14"/>
      <c r="Z15" s="14"/>
    </row>
    <row r="16" spans="1:26" ht="15.75" customHeight="1" x14ac:dyDescent="0.25">
      <c r="A16" s="14"/>
      <c r="B16" s="14"/>
      <c r="C16" s="14"/>
      <c r="D16" s="14"/>
      <c r="E16" s="14"/>
      <c r="F16" s="14"/>
      <c r="G16" s="14"/>
      <c r="H16" s="14"/>
      <c r="I16" s="14"/>
      <c r="J16" s="14"/>
      <c r="K16" s="14"/>
      <c r="L16" s="14"/>
      <c r="M16" s="14"/>
      <c r="N16" s="14"/>
      <c r="O16" s="14"/>
      <c r="P16" s="14"/>
      <c r="Q16" s="14"/>
      <c r="R16" s="14"/>
      <c r="S16" s="14"/>
      <c r="T16" s="14"/>
      <c r="U16" s="14"/>
      <c r="V16" s="14"/>
      <c r="W16" s="14"/>
      <c r="X16" s="14"/>
      <c r="Y16" s="14"/>
      <c r="Z16" s="14"/>
    </row>
    <row r="17" spans="1:26" ht="15.75" customHeight="1" x14ac:dyDescent="0.25">
      <c r="A17" s="14"/>
      <c r="B17" s="19" t="s">
        <v>97</v>
      </c>
      <c r="C17" s="14"/>
      <c r="D17" s="14"/>
      <c r="E17" s="14"/>
      <c r="F17" s="14"/>
      <c r="G17" s="14"/>
      <c r="H17" s="14"/>
      <c r="I17" s="14"/>
      <c r="J17" s="14"/>
      <c r="K17" s="14"/>
      <c r="L17" s="14"/>
      <c r="M17" s="14"/>
      <c r="N17" s="14"/>
      <c r="O17" s="14"/>
      <c r="P17" s="14"/>
      <c r="Q17" s="14"/>
      <c r="R17" s="14"/>
      <c r="S17" s="14"/>
      <c r="T17" s="14"/>
      <c r="U17" s="14"/>
      <c r="V17" s="14"/>
      <c r="W17" s="14"/>
      <c r="X17" s="14"/>
      <c r="Y17" s="14"/>
      <c r="Z17" s="14"/>
    </row>
    <row r="18" spans="1:26" ht="15.75" customHeight="1" x14ac:dyDescent="0.25">
      <c r="A18" s="14"/>
      <c r="B18" s="32">
        <f>B15/20000000</f>
        <v>1.2158500000000001</v>
      </c>
      <c r="C18" s="14"/>
      <c r="D18" s="42" t="s">
        <v>144</v>
      </c>
      <c r="E18" s="44"/>
      <c r="F18" s="44"/>
      <c r="G18" s="14"/>
      <c r="H18" s="14"/>
      <c r="I18" s="14"/>
      <c r="J18" s="14"/>
      <c r="K18" s="14"/>
      <c r="L18" s="14"/>
      <c r="M18" s="14"/>
      <c r="N18" s="14"/>
      <c r="O18" s="14"/>
      <c r="P18" s="14"/>
      <c r="Q18" s="14"/>
      <c r="R18" s="14"/>
      <c r="S18" s="14"/>
      <c r="T18" s="14"/>
      <c r="U18" s="14"/>
      <c r="V18" s="14"/>
      <c r="W18" s="14"/>
      <c r="X18" s="14"/>
      <c r="Y18" s="14"/>
      <c r="Z18" s="14"/>
    </row>
    <row r="19" spans="1:26" ht="15.75" customHeight="1" x14ac:dyDescent="0.25">
      <c r="A19" s="14"/>
      <c r="B19" s="14"/>
      <c r="C19" s="14"/>
      <c r="D19" s="43">
        <f>E6</f>
        <v>6200000</v>
      </c>
      <c r="E19" s="45"/>
      <c r="F19" s="45"/>
      <c r="G19" s="14"/>
      <c r="H19" s="14"/>
      <c r="I19" s="14"/>
      <c r="J19" s="14"/>
      <c r="K19" s="14"/>
      <c r="L19" s="14"/>
      <c r="M19" s="14"/>
      <c r="N19" s="14"/>
      <c r="O19" s="14"/>
      <c r="P19" s="14"/>
      <c r="Q19" s="14"/>
      <c r="R19" s="14"/>
      <c r="S19" s="14"/>
      <c r="T19" s="14"/>
      <c r="U19" s="14"/>
      <c r="V19" s="14"/>
      <c r="W19" s="14"/>
      <c r="X19" s="14"/>
      <c r="Y19" s="14"/>
      <c r="Z19" s="14"/>
    </row>
    <row r="20" spans="1:26" ht="15.75" customHeight="1" x14ac:dyDescent="0.25">
      <c r="A20" s="14"/>
      <c r="B20" s="14"/>
      <c r="C20" s="14"/>
      <c r="D20" s="14"/>
      <c r="E20" s="14"/>
      <c r="F20" s="14"/>
      <c r="G20" s="14"/>
      <c r="H20" s="14"/>
      <c r="I20" s="14"/>
      <c r="J20" s="14"/>
      <c r="K20" s="14"/>
      <c r="L20" s="14"/>
      <c r="M20" s="14"/>
      <c r="N20" s="14"/>
      <c r="O20" s="14"/>
      <c r="P20" s="14"/>
      <c r="Q20" s="14"/>
      <c r="R20" s="14"/>
      <c r="S20" s="14"/>
      <c r="T20" s="14"/>
      <c r="U20" s="14"/>
      <c r="V20" s="14"/>
      <c r="W20" s="14"/>
      <c r="X20" s="14"/>
      <c r="Y20" s="14"/>
      <c r="Z20" s="14"/>
    </row>
    <row r="21" spans="1:26" ht="15.75" customHeight="1" x14ac:dyDescent="0.25">
      <c r="A21" s="14"/>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spans="1:26" ht="15.75" customHeight="1" x14ac:dyDescent="0.25">
      <c r="A22" s="14"/>
      <c r="B22" s="53" t="s">
        <v>145</v>
      </c>
      <c r="C22" s="14"/>
      <c r="D22" s="14"/>
      <c r="E22" s="14"/>
      <c r="F22" s="14"/>
      <c r="G22" s="14"/>
      <c r="H22" s="14"/>
      <c r="I22" s="14"/>
      <c r="J22" s="14"/>
      <c r="K22" s="14"/>
      <c r="L22" s="14"/>
      <c r="M22" s="14"/>
      <c r="N22" s="14"/>
      <c r="O22" s="14"/>
      <c r="P22" s="14"/>
      <c r="Q22" s="14"/>
      <c r="R22" s="14"/>
      <c r="S22" s="14"/>
      <c r="T22" s="14"/>
      <c r="U22" s="14"/>
      <c r="V22" s="14"/>
      <c r="W22" s="14"/>
      <c r="X22" s="14"/>
      <c r="Y22" s="14"/>
      <c r="Z22" s="14"/>
    </row>
    <row r="23" spans="1:26" ht="15.75" customHeight="1" x14ac:dyDescent="0.25">
      <c r="A23" s="14"/>
      <c r="B23" s="46">
        <f>(B15*1.22)</f>
        <v>29666740</v>
      </c>
      <c r="C23" s="14"/>
      <c r="D23" s="14"/>
      <c r="E23" s="14"/>
      <c r="F23" s="14"/>
      <c r="G23" s="14"/>
      <c r="H23" s="14"/>
      <c r="I23" s="14"/>
      <c r="J23" s="14"/>
      <c r="K23" s="14"/>
      <c r="L23" s="14"/>
      <c r="M23" s="14"/>
      <c r="N23" s="14"/>
      <c r="O23" s="14"/>
      <c r="P23" s="14"/>
      <c r="Q23" s="14"/>
      <c r="R23" s="14"/>
      <c r="S23" s="14"/>
      <c r="T23" s="14"/>
      <c r="U23" s="14"/>
      <c r="V23" s="14"/>
      <c r="W23" s="14"/>
      <c r="X23" s="14"/>
      <c r="Y23" s="14"/>
      <c r="Z23" s="14"/>
    </row>
    <row r="24" spans="1:26" ht="15.75" customHeight="1" x14ac:dyDescent="0.25">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spans="1:26" x14ac:dyDescent="0.25">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spans="1:26" x14ac:dyDescent="0.25">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spans="1:26" x14ac:dyDescent="0.25">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spans="1:26" x14ac:dyDescent="0.25">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spans="1:26" x14ac:dyDescent="0.25">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spans="1:26" x14ac:dyDescent="0.25">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spans="1:26" x14ac:dyDescent="0.25">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spans="1:26" x14ac:dyDescent="0.25">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spans="1:26" x14ac:dyDescent="0.25">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spans="1:26" x14ac:dyDescent="0.25">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spans="1:26" x14ac:dyDescent="0.2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spans="1:26" x14ac:dyDescent="0.25">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spans="1:26" x14ac:dyDescent="0.25">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spans="1:26" x14ac:dyDescent="0.25">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spans="1:26" x14ac:dyDescent="0.25">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spans="1:26" x14ac:dyDescent="0.25">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spans="1:26" x14ac:dyDescent="0.25">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spans="1:26" x14ac:dyDescent="0.25">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spans="1:26" x14ac:dyDescent="0.25">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spans="1:26" x14ac:dyDescent="0.25">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spans="1:26" x14ac:dyDescent="0.2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spans="1:26" x14ac:dyDescent="0.25">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spans="1:26" x14ac:dyDescent="0.25">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spans="1:26" x14ac:dyDescent="0.25">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spans="1:26" x14ac:dyDescent="0.25">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spans="1:26" x14ac:dyDescent="0.25">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spans="1:26" x14ac:dyDescent="0.25">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spans="1:26" x14ac:dyDescent="0.25">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spans="1:26" x14ac:dyDescent="0.25">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spans="1:26" x14ac:dyDescent="0.25">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spans="1:26" x14ac:dyDescent="0.2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spans="1:26" x14ac:dyDescent="0.25">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spans="1:26" x14ac:dyDescent="0.25">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spans="1:26" x14ac:dyDescent="0.25">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spans="1:26" x14ac:dyDescent="0.25">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spans="1:26" x14ac:dyDescent="0.25">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spans="1:26" x14ac:dyDescent="0.25">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spans="1:26" x14ac:dyDescent="0.25">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spans="1:26" x14ac:dyDescent="0.25">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spans="1:26" x14ac:dyDescent="0.25">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spans="1:26" x14ac:dyDescent="0.2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spans="1:26" x14ac:dyDescent="0.25">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spans="1:26" x14ac:dyDescent="0.25">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spans="1:26" x14ac:dyDescent="0.25">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spans="1:26" x14ac:dyDescent="0.25">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spans="1:26" x14ac:dyDescent="0.25">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spans="1:26" x14ac:dyDescent="0.25">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spans="1:26" x14ac:dyDescent="0.25">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spans="1:26" x14ac:dyDescent="0.25">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spans="1:26" x14ac:dyDescent="0.25">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spans="1:26" x14ac:dyDescent="0.2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spans="1:26" x14ac:dyDescent="0.25">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spans="1:26" x14ac:dyDescent="0.25">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spans="1:26" x14ac:dyDescent="0.25">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spans="1:26" x14ac:dyDescent="0.25">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spans="1:26" x14ac:dyDescent="0.25">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spans="1:26" x14ac:dyDescent="0.25">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spans="1:26" x14ac:dyDescent="0.25">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spans="1:26" x14ac:dyDescent="0.25">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spans="1:26" x14ac:dyDescent="0.25">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spans="1:26" x14ac:dyDescent="0.2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spans="1:26" x14ac:dyDescent="0.25">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spans="1:26" x14ac:dyDescent="0.25">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spans="1:26" x14ac:dyDescent="0.25">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spans="1:26" x14ac:dyDescent="0.25">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spans="1:26" x14ac:dyDescent="0.25">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spans="1:26" x14ac:dyDescent="0.25">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spans="1:26" x14ac:dyDescent="0.25">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spans="1:26" x14ac:dyDescent="0.25">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spans="1:26" x14ac:dyDescent="0.25">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spans="1:26" x14ac:dyDescent="0.2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spans="1:26" x14ac:dyDescent="0.25">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spans="1:26" x14ac:dyDescent="0.25">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spans="1:26" x14ac:dyDescent="0.25">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spans="1:26" x14ac:dyDescent="0.25">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spans="1:26" x14ac:dyDescent="0.25">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spans="1:26" x14ac:dyDescent="0.25">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spans="1:26" x14ac:dyDescent="0.25">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spans="1:26" x14ac:dyDescent="0.25">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spans="1:26" x14ac:dyDescent="0.25">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spans="1:26" x14ac:dyDescent="0.2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spans="1:26" x14ac:dyDescent="0.25">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spans="1:26" x14ac:dyDescent="0.25">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spans="1:26" x14ac:dyDescent="0.25">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spans="1:26" x14ac:dyDescent="0.25">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spans="1:26" x14ac:dyDescent="0.25">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spans="1:26" x14ac:dyDescent="0.25">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spans="1:26" x14ac:dyDescent="0.25">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spans="1:26" x14ac:dyDescent="0.25">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spans="1:26" x14ac:dyDescent="0.25">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spans="1:26" x14ac:dyDescent="0.2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spans="1:26" x14ac:dyDescent="0.25">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spans="1:26" x14ac:dyDescent="0.25">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spans="1:26" x14ac:dyDescent="0.25">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spans="1:26" x14ac:dyDescent="0.25">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spans="1:26" x14ac:dyDescent="0.25">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spans="1:26" x14ac:dyDescent="0.25">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spans="1:26" x14ac:dyDescent="0.25">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spans="1:26" x14ac:dyDescent="0.25">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spans="1:26" x14ac:dyDescent="0.25">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spans="1:26" x14ac:dyDescent="0.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spans="1:26" x14ac:dyDescent="0.25">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spans="1:26" x14ac:dyDescent="0.25">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spans="1:26" x14ac:dyDescent="0.25">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spans="1:26" x14ac:dyDescent="0.25">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spans="1:26" x14ac:dyDescent="0.25">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spans="1:26" x14ac:dyDescent="0.25">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spans="1:26" x14ac:dyDescent="0.25">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spans="1:26" x14ac:dyDescent="0.25">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spans="1:26" x14ac:dyDescent="0.25">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spans="1:26" x14ac:dyDescent="0.2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spans="1:26" x14ac:dyDescent="0.25">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spans="1:26" x14ac:dyDescent="0.25">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spans="1:26" x14ac:dyDescent="0.25">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spans="1:26" x14ac:dyDescent="0.25">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spans="1:26" x14ac:dyDescent="0.25">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spans="1:26" x14ac:dyDescent="0.25">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spans="1:26" x14ac:dyDescent="0.25">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spans="1:26" x14ac:dyDescent="0.25">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spans="1:26" x14ac:dyDescent="0.25">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spans="1:26" x14ac:dyDescent="0.2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spans="1:26" x14ac:dyDescent="0.25">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spans="1:26" x14ac:dyDescent="0.25">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spans="1:26" x14ac:dyDescent="0.25">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spans="1:26" x14ac:dyDescent="0.25">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spans="1:26" x14ac:dyDescent="0.25">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spans="1:26" x14ac:dyDescent="0.25">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spans="1:26" x14ac:dyDescent="0.25">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spans="1:26" x14ac:dyDescent="0.25">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spans="1:26" x14ac:dyDescent="0.25">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spans="1:26" x14ac:dyDescent="0.2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spans="1:26" x14ac:dyDescent="0.25">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spans="1:26" x14ac:dyDescent="0.25">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spans="1:26" x14ac:dyDescent="0.25">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spans="1:26" x14ac:dyDescent="0.25">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spans="1:26" x14ac:dyDescent="0.25">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spans="1:26" x14ac:dyDescent="0.25">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spans="1:26" x14ac:dyDescent="0.25">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spans="1:26" x14ac:dyDescent="0.25">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spans="1:26" x14ac:dyDescent="0.25">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spans="1:26" x14ac:dyDescent="0.2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spans="1:26" x14ac:dyDescent="0.25">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spans="1:26" x14ac:dyDescent="0.25">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spans="1:26" x14ac:dyDescent="0.25">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spans="1:26" x14ac:dyDescent="0.25">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spans="1:26" x14ac:dyDescent="0.25">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spans="1:26" x14ac:dyDescent="0.25">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spans="1:26" x14ac:dyDescent="0.25">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spans="1:26" x14ac:dyDescent="0.25">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spans="1:26" x14ac:dyDescent="0.25">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spans="1:26" x14ac:dyDescent="0.2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spans="1:26" x14ac:dyDescent="0.25">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spans="1:26" x14ac:dyDescent="0.25">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spans="1:26" x14ac:dyDescent="0.25">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spans="1:26" x14ac:dyDescent="0.25">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spans="1:26" x14ac:dyDescent="0.25">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spans="1:26" x14ac:dyDescent="0.25">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spans="1:26" x14ac:dyDescent="0.25">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spans="1:26" x14ac:dyDescent="0.25">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spans="1:26" x14ac:dyDescent="0.25">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spans="1:26" x14ac:dyDescent="0.2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spans="1:26" x14ac:dyDescent="0.25">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spans="1:26" x14ac:dyDescent="0.25">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spans="1:26" x14ac:dyDescent="0.25">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spans="1:26" x14ac:dyDescent="0.25">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spans="1:26" x14ac:dyDescent="0.25">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spans="1:26" x14ac:dyDescent="0.25">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spans="1:26" x14ac:dyDescent="0.25">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spans="1:26" x14ac:dyDescent="0.25">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spans="1:26" x14ac:dyDescent="0.25">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spans="1:26" x14ac:dyDescent="0.2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spans="1:26" x14ac:dyDescent="0.25">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spans="1:26" x14ac:dyDescent="0.25">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spans="1:26" x14ac:dyDescent="0.25">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spans="1:26" x14ac:dyDescent="0.25">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spans="1:26" x14ac:dyDescent="0.25">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spans="1:26" x14ac:dyDescent="0.25">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spans="1:26" x14ac:dyDescent="0.25">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spans="1:26" x14ac:dyDescent="0.25">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spans="1:26" x14ac:dyDescent="0.25">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spans="1:26" x14ac:dyDescent="0.2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spans="1:26" x14ac:dyDescent="0.25">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spans="1:26" x14ac:dyDescent="0.25">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spans="1:26" x14ac:dyDescent="0.25">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spans="1:26" x14ac:dyDescent="0.25">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spans="1:26" x14ac:dyDescent="0.25">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spans="1:26" x14ac:dyDescent="0.25">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spans="1:26" x14ac:dyDescent="0.25">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spans="1:26" x14ac:dyDescent="0.25">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spans="1:26" x14ac:dyDescent="0.25">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spans="1:26" x14ac:dyDescent="0.2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spans="1:26" x14ac:dyDescent="0.25">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spans="1:26" x14ac:dyDescent="0.25">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spans="1:26" x14ac:dyDescent="0.25">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spans="1:26" x14ac:dyDescent="0.25">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spans="1:26" x14ac:dyDescent="0.25">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spans="1:26" x14ac:dyDescent="0.25">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spans="1:26" x14ac:dyDescent="0.25">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spans="1:26" x14ac:dyDescent="0.25">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spans="1:26" x14ac:dyDescent="0.25">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spans="1:26" x14ac:dyDescent="0.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spans="1:26" x14ac:dyDescent="0.25">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spans="1:26" x14ac:dyDescent="0.25">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spans="1:26" x14ac:dyDescent="0.25">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spans="1:26" x14ac:dyDescent="0.25">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spans="1:26" x14ac:dyDescent="0.25">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spans="1:26" x14ac:dyDescent="0.25">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spans="1:26" x14ac:dyDescent="0.25">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spans="1:26" x14ac:dyDescent="0.25">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spans="1:26" x14ac:dyDescent="0.25">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spans="1:26" x14ac:dyDescent="0.2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spans="1:26" x14ac:dyDescent="0.25">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spans="1:26" x14ac:dyDescent="0.25">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spans="1:26" x14ac:dyDescent="0.25">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spans="1:26" x14ac:dyDescent="0.25">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spans="1:26" x14ac:dyDescent="0.25">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spans="1:26" x14ac:dyDescent="0.25">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spans="1:26" x14ac:dyDescent="0.25">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spans="1:26" x14ac:dyDescent="0.25">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spans="1:26" x14ac:dyDescent="0.25">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spans="1:26" x14ac:dyDescent="0.2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spans="1:26" x14ac:dyDescent="0.25">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spans="1:26" x14ac:dyDescent="0.25">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spans="1:26" x14ac:dyDescent="0.25">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spans="1:26" x14ac:dyDescent="0.25">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spans="1:26" x14ac:dyDescent="0.25">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spans="1:26" x14ac:dyDescent="0.25">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spans="1:26" x14ac:dyDescent="0.25">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spans="1:26" x14ac:dyDescent="0.25">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spans="1:26" x14ac:dyDescent="0.25">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spans="1:26" x14ac:dyDescent="0.2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spans="1:26" x14ac:dyDescent="0.25">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spans="1:26" x14ac:dyDescent="0.25">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spans="1:26" x14ac:dyDescent="0.25">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spans="1:26" x14ac:dyDescent="0.25">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spans="1:26" x14ac:dyDescent="0.25">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spans="1:26" x14ac:dyDescent="0.25">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spans="1:26" x14ac:dyDescent="0.25">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spans="1:26" x14ac:dyDescent="0.25">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spans="1:26" x14ac:dyDescent="0.25">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spans="1:26" x14ac:dyDescent="0.2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spans="1:26" x14ac:dyDescent="0.25">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spans="1:26" x14ac:dyDescent="0.25">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spans="1:26" x14ac:dyDescent="0.25">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spans="1:26" x14ac:dyDescent="0.25">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spans="1:26" x14ac:dyDescent="0.25">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spans="1:26" x14ac:dyDescent="0.25">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spans="1:26" x14ac:dyDescent="0.25">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spans="1:26" x14ac:dyDescent="0.25">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spans="1:26" x14ac:dyDescent="0.25">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spans="1:26" x14ac:dyDescent="0.2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spans="1:26" x14ac:dyDescent="0.25">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spans="1:26" x14ac:dyDescent="0.25">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spans="1:26" x14ac:dyDescent="0.25">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spans="1:26" x14ac:dyDescent="0.25">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spans="1:26" x14ac:dyDescent="0.25">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spans="1:26" x14ac:dyDescent="0.25">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spans="1:26" x14ac:dyDescent="0.25">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spans="1:26" x14ac:dyDescent="0.25">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spans="1:26" x14ac:dyDescent="0.25">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spans="1:26" x14ac:dyDescent="0.2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spans="1:26" x14ac:dyDescent="0.25">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spans="1:26" x14ac:dyDescent="0.25">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spans="1:26" x14ac:dyDescent="0.25">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spans="1:26" x14ac:dyDescent="0.25">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spans="1:26" x14ac:dyDescent="0.25">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spans="1:26" x14ac:dyDescent="0.25">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spans="1:26" x14ac:dyDescent="0.25">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spans="1:26" x14ac:dyDescent="0.25">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spans="1:26" x14ac:dyDescent="0.25">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spans="1:26" x14ac:dyDescent="0.2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spans="1:26" x14ac:dyDescent="0.25">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spans="1:26" x14ac:dyDescent="0.25">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spans="1:26" x14ac:dyDescent="0.25">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spans="1:26" x14ac:dyDescent="0.25">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spans="1:26" x14ac:dyDescent="0.25">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spans="1:26" x14ac:dyDescent="0.25">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spans="1:26" x14ac:dyDescent="0.25">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spans="1:26" x14ac:dyDescent="0.25">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spans="1:26" x14ac:dyDescent="0.25">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spans="1:26" x14ac:dyDescent="0.2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spans="1:26" x14ac:dyDescent="0.25">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spans="1:26" x14ac:dyDescent="0.25">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spans="1:26" x14ac:dyDescent="0.25">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spans="1:26" x14ac:dyDescent="0.25">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spans="1:26" x14ac:dyDescent="0.25">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spans="1:26" x14ac:dyDescent="0.25">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spans="1:26" x14ac:dyDescent="0.25">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spans="1:26" x14ac:dyDescent="0.25">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spans="1:26" x14ac:dyDescent="0.25">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spans="1:26" x14ac:dyDescent="0.2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spans="1:26" x14ac:dyDescent="0.25">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spans="1:26" x14ac:dyDescent="0.25">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spans="1:26" x14ac:dyDescent="0.25">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spans="1:26" x14ac:dyDescent="0.25">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spans="1:26" x14ac:dyDescent="0.25">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spans="1:26" x14ac:dyDescent="0.25">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spans="1:26" x14ac:dyDescent="0.25">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spans="1:26" x14ac:dyDescent="0.25">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spans="1:26" x14ac:dyDescent="0.25">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x14ac:dyDescent="0.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x14ac:dyDescent="0.25">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spans="1:26" x14ac:dyDescent="0.25">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spans="1:26" x14ac:dyDescent="0.25">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spans="1:26" x14ac:dyDescent="0.25">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x14ac:dyDescent="0.25">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spans="1:26" x14ac:dyDescent="0.25">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spans="1:26" x14ac:dyDescent="0.25">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spans="1:26" x14ac:dyDescent="0.25">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spans="1:26" x14ac:dyDescent="0.25">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spans="1:26" x14ac:dyDescent="0.2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spans="1:26" x14ac:dyDescent="0.25">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spans="1:26" x14ac:dyDescent="0.25">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spans="1:26" x14ac:dyDescent="0.25">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spans="1:26" x14ac:dyDescent="0.25">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spans="1:26" x14ac:dyDescent="0.25">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spans="1:26" x14ac:dyDescent="0.25">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spans="1:26" x14ac:dyDescent="0.25">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spans="1:26" x14ac:dyDescent="0.25">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spans="1:26" x14ac:dyDescent="0.25">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spans="1:26" x14ac:dyDescent="0.2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spans="1:26" x14ac:dyDescent="0.25">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spans="1:26" x14ac:dyDescent="0.25">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spans="1:26" x14ac:dyDescent="0.25">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spans="1:26" x14ac:dyDescent="0.25">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spans="1:26" x14ac:dyDescent="0.25">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spans="1:26" x14ac:dyDescent="0.25">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spans="1:26" x14ac:dyDescent="0.25">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spans="1:26" x14ac:dyDescent="0.25">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spans="1:26" x14ac:dyDescent="0.25">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spans="1:26" x14ac:dyDescent="0.2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spans="1:26" x14ac:dyDescent="0.25">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spans="1:26" x14ac:dyDescent="0.25">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spans="1:26" x14ac:dyDescent="0.25">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spans="1:26" x14ac:dyDescent="0.25">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spans="1:26" x14ac:dyDescent="0.25">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spans="1:26" x14ac:dyDescent="0.25">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spans="1:26" x14ac:dyDescent="0.25">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spans="1:26" x14ac:dyDescent="0.25">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spans="1:26" x14ac:dyDescent="0.25">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spans="1:26" x14ac:dyDescent="0.2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spans="1:26" x14ac:dyDescent="0.25">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spans="1:26" x14ac:dyDescent="0.25">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spans="1:26" x14ac:dyDescent="0.25">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spans="1:26" x14ac:dyDescent="0.25">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spans="1:26" x14ac:dyDescent="0.25">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spans="1:26" x14ac:dyDescent="0.25">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spans="1:26" x14ac:dyDescent="0.25">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spans="1:26" x14ac:dyDescent="0.25">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spans="1:26" x14ac:dyDescent="0.25">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spans="1:26" x14ac:dyDescent="0.2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spans="1:26" x14ac:dyDescent="0.25">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spans="1:26" x14ac:dyDescent="0.25">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spans="1:26" x14ac:dyDescent="0.25">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spans="1:26" x14ac:dyDescent="0.25">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spans="1:26" x14ac:dyDescent="0.25">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spans="1:26" x14ac:dyDescent="0.25">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spans="1:26" x14ac:dyDescent="0.25">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spans="1:26" x14ac:dyDescent="0.25">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spans="1:26" x14ac:dyDescent="0.25">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spans="1:26" x14ac:dyDescent="0.2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spans="1:26" x14ac:dyDescent="0.25">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spans="1:26" x14ac:dyDescent="0.25">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spans="1:26" x14ac:dyDescent="0.25">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spans="1:26" x14ac:dyDescent="0.25">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spans="1:26" x14ac:dyDescent="0.25">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spans="1:26" x14ac:dyDescent="0.25">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spans="1:26" x14ac:dyDescent="0.25">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spans="1:26" x14ac:dyDescent="0.25">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spans="1:26" x14ac:dyDescent="0.25">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spans="1:26" x14ac:dyDescent="0.2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spans="1:26" x14ac:dyDescent="0.25">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x14ac:dyDescent="0.25">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spans="1:26" x14ac:dyDescent="0.25">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spans="1:26" x14ac:dyDescent="0.25">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x14ac:dyDescent="0.25">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x14ac:dyDescent="0.25">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x14ac:dyDescent="0.25">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x14ac:dyDescent="0.25">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x14ac:dyDescent="0.25">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x14ac:dyDescent="0.2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x14ac:dyDescent="0.25">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x14ac:dyDescent="0.25">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x14ac:dyDescent="0.25">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x14ac:dyDescent="0.25">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spans="1:26" x14ac:dyDescent="0.25">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x14ac:dyDescent="0.25">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x14ac:dyDescent="0.25">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x14ac:dyDescent="0.25">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x14ac:dyDescent="0.25">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x14ac:dyDescent="0.2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spans="1:26" x14ac:dyDescent="0.25">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spans="1:26" x14ac:dyDescent="0.25">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x14ac:dyDescent="0.25">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x14ac:dyDescent="0.25">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x14ac:dyDescent="0.25">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x14ac:dyDescent="0.25">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x14ac:dyDescent="0.25">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x14ac:dyDescent="0.25">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x14ac:dyDescent="0.25">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x14ac:dyDescent="0.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x14ac:dyDescent="0.25">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x14ac:dyDescent="0.25">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x14ac:dyDescent="0.25">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x14ac:dyDescent="0.25">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x14ac:dyDescent="0.25">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x14ac:dyDescent="0.25">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x14ac:dyDescent="0.25">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x14ac:dyDescent="0.25">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x14ac:dyDescent="0.25">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x14ac:dyDescent="0.2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x14ac:dyDescent="0.25">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x14ac:dyDescent="0.25">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x14ac:dyDescent="0.25">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x14ac:dyDescent="0.25">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x14ac:dyDescent="0.25">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x14ac:dyDescent="0.25">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x14ac:dyDescent="0.25">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x14ac:dyDescent="0.25">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x14ac:dyDescent="0.25">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x14ac:dyDescent="0.2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x14ac:dyDescent="0.25">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x14ac:dyDescent="0.25">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x14ac:dyDescent="0.25">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x14ac:dyDescent="0.25">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x14ac:dyDescent="0.25">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x14ac:dyDescent="0.25">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x14ac:dyDescent="0.25">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x14ac:dyDescent="0.25">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x14ac:dyDescent="0.25">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x14ac:dyDescent="0.2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x14ac:dyDescent="0.25">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x14ac:dyDescent="0.25">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x14ac:dyDescent="0.25">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x14ac:dyDescent="0.25">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x14ac:dyDescent="0.25">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x14ac:dyDescent="0.25">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x14ac:dyDescent="0.25">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x14ac:dyDescent="0.25">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x14ac:dyDescent="0.25">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x14ac:dyDescent="0.2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x14ac:dyDescent="0.25">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x14ac:dyDescent="0.25">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x14ac:dyDescent="0.25">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x14ac:dyDescent="0.25">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x14ac:dyDescent="0.25">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x14ac:dyDescent="0.25">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x14ac:dyDescent="0.25">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x14ac:dyDescent="0.25">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x14ac:dyDescent="0.25">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x14ac:dyDescent="0.2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x14ac:dyDescent="0.25">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x14ac:dyDescent="0.25">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x14ac:dyDescent="0.25">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x14ac:dyDescent="0.25">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x14ac:dyDescent="0.25">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x14ac:dyDescent="0.25">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x14ac:dyDescent="0.25">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x14ac:dyDescent="0.25">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x14ac:dyDescent="0.25">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x14ac:dyDescent="0.2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x14ac:dyDescent="0.25">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x14ac:dyDescent="0.25">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x14ac:dyDescent="0.25">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x14ac:dyDescent="0.25">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x14ac:dyDescent="0.25">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x14ac:dyDescent="0.25">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x14ac:dyDescent="0.25">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x14ac:dyDescent="0.25">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x14ac:dyDescent="0.25">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x14ac:dyDescent="0.2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x14ac:dyDescent="0.25">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x14ac:dyDescent="0.25">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x14ac:dyDescent="0.25">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x14ac:dyDescent="0.25">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x14ac:dyDescent="0.25">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x14ac:dyDescent="0.25">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x14ac:dyDescent="0.25">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x14ac:dyDescent="0.25">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x14ac:dyDescent="0.25">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x14ac:dyDescent="0.2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x14ac:dyDescent="0.25">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x14ac:dyDescent="0.25">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x14ac:dyDescent="0.25">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x14ac:dyDescent="0.25">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x14ac:dyDescent="0.25">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x14ac:dyDescent="0.25">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x14ac:dyDescent="0.25">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x14ac:dyDescent="0.25">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x14ac:dyDescent="0.25">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x14ac:dyDescent="0.2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x14ac:dyDescent="0.25">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x14ac:dyDescent="0.25">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x14ac:dyDescent="0.25">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x14ac:dyDescent="0.25">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x14ac:dyDescent="0.25">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x14ac:dyDescent="0.25">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x14ac:dyDescent="0.25">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x14ac:dyDescent="0.25">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x14ac:dyDescent="0.25">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x14ac:dyDescent="0.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x14ac:dyDescent="0.25">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x14ac:dyDescent="0.25">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x14ac:dyDescent="0.25">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x14ac:dyDescent="0.25">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x14ac:dyDescent="0.25">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x14ac:dyDescent="0.25">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x14ac:dyDescent="0.25">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x14ac:dyDescent="0.25">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x14ac:dyDescent="0.25">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x14ac:dyDescent="0.2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x14ac:dyDescent="0.25">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x14ac:dyDescent="0.25">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x14ac:dyDescent="0.25">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x14ac:dyDescent="0.25">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x14ac:dyDescent="0.25">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x14ac:dyDescent="0.25">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x14ac:dyDescent="0.25">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x14ac:dyDescent="0.25">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x14ac:dyDescent="0.25">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x14ac:dyDescent="0.2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x14ac:dyDescent="0.25">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x14ac:dyDescent="0.25">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x14ac:dyDescent="0.25">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x14ac:dyDescent="0.25">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x14ac:dyDescent="0.25">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x14ac:dyDescent="0.25">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x14ac:dyDescent="0.25">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x14ac:dyDescent="0.25">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x14ac:dyDescent="0.25">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x14ac:dyDescent="0.2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x14ac:dyDescent="0.25">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x14ac:dyDescent="0.25">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x14ac:dyDescent="0.25">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x14ac:dyDescent="0.25">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x14ac:dyDescent="0.25">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x14ac:dyDescent="0.25">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x14ac:dyDescent="0.25">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x14ac:dyDescent="0.25">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x14ac:dyDescent="0.25">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x14ac:dyDescent="0.2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x14ac:dyDescent="0.25">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x14ac:dyDescent="0.25">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x14ac:dyDescent="0.25">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x14ac:dyDescent="0.25">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x14ac:dyDescent="0.25">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x14ac:dyDescent="0.25">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x14ac:dyDescent="0.25">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x14ac:dyDescent="0.25">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x14ac:dyDescent="0.25">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x14ac:dyDescent="0.2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x14ac:dyDescent="0.25">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x14ac:dyDescent="0.25">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x14ac:dyDescent="0.25">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x14ac:dyDescent="0.25">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x14ac:dyDescent="0.25">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x14ac:dyDescent="0.25">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x14ac:dyDescent="0.25">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x14ac:dyDescent="0.25">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x14ac:dyDescent="0.25">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x14ac:dyDescent="0.2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x14ac:dyDescent="0.25">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x14ac:dyDescent="0.25">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x14ac:dyDescent="0.25">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x14ac:dyDescent="0.25">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x14ac:dyDescent="0.25">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x14ac:dyDescent="0.25">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x14ac:dyDescent="0.25">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x14ac:dyDescent="0.25">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x14ac:dyDescent="0.25">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x14ac:dyDescent="0.2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x14ac:dyDescent="0.25">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x14ac:dyDescent="0.25">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x14ac:dyDescent="0.25">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x14ac:dyDescent="0.25">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x14ac:dyDescent="0.25">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x14ac:dyDescent="0.25">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x14ac:dyDescent="0.25">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x14ac:dyDescent="0.25">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x14ac:dyDescent="0.25">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x14ac:dyDescent="0.2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x14ac:dyDescent="0.25">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x14ac:dyDescent="0.25">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x14ac:dyDescent="0.25">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x14ac:dyDescent="0.25">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x14ac:dyDescent="0.25">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x14ac:dyDescent="0.25">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x14ac:dyDescent="0.25">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x14ac:dyDescent="0.25">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x14ac:dyDescent="0.25">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x14ac:dyDescent="0.2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x14ac:dyDescent="0.25">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x14ac:dyDescent="0.25">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x14ac:dyDescent="0.25">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x14ac:dyDescent="0.25">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x14ac:dyDescent="0.25">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x14ac:dyDescent="0.25">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x14ac:dyDescent="0.25">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x14ac:dyDescent="0.25">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x14ac:dyDescent="0.25">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x14ac:dyDescent="0.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x14ac:dyDescent="0.25">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x14ac:dyDescent="0.25">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x14ac:dyDescent="0.25">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x14ac:dyDescent="0.25">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x14ac:dyDescent="0.25">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x14ac:dyDescent="0.25">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x14ac:dyDescent="0.25">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x14ac:dyDescent="0.25">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x14ac:dyDescent="0.25">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x14ac:dyDescent="0.2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x14ac:dyDescent="0.25">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x14ac:dyDescent="0.25">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x14ac:dyDescent="0.25">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x14ac:dyDescent="0.25">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x14ac:dyDescent="0.25">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x14ac:dyDescent="0.25">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x14ac:dyDescent="0.25">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x14ac:dyDescent="0.25">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x14ac:dyDescent="0.25">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x14ac:dyDescent="0.2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x14ac:dyDescent="0.25">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x14ac:dyDescent="0.25">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x14ac:dyDescent="0.25">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x14ac:dyDescent="0.25">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x14ac:dyDescent="0.25">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x14ac:dyDescent="0.25">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x14ac:dyDescent="0.25">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x14ac:dyDescent="0.25">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x14ac:dyDescent="0.25">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x14ac:dyDescent="0.2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x14ac:dyDescent="0.25">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x14ac:dyDescent="0.25">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x14ac:dyDescent="0.25">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x14ac:dyDescent="0.25">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x14ac:dyDescent="0.25">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x14ac:dyDescent="0.25">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x14ac:dyDescent="0.25">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x14ac:dyDescent="0.25">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x14ac:dyDescent="0.25">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x14ac:dyDescent="0.2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x14ac:dyDescent="0.25">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x14ac:dyDescent="0.25">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x14ac:dyDescent="0.25">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x14ac:dyDescent="0.25">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x14ac:dyDescent="0.25">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x14ac:dyDescent="0.25">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x14ac:dyDescent="0.25">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x14ac:dyDescent="0.25">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x14ac:dyDescent="0.25">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x14ac:dyDescent="0.2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x14ac:dyDescent="0.25">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x14ac:dyDescent="0.25">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x14ac:dyDescent="0.25">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x14ac:dyDescent="0.25">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x14ac:dyDescent="0.25">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x14ac:dyDescent="0.25">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x14ac:dyDescent="0.25">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x14ac:dyDescent="0.25">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x14ac:dyDescent="0.25">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x14ac:dyDescent="0.2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x14ac:dyDescent="0.25">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x14ac:dyDescent="0.25">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x14ac:dyDescent="0.25">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x14ac:dyDescent="0.25">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x14ac:dyDescent="0.25">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x14ac:dyDescent="0.25">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x14ac:dyDescent="0.25">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x14ac:dyDescent="0.25">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x14ac:dyDescent="0.25">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x14ac:dyDescent="0.2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x14ac:dyDescent="0.25">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x14ac:dyDescent="0.25">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x14ac:dyDescent="0.25">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x14ac:dyDescent="0.25">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x14ac:dyDescent="0.25">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x14ac:dyDescent="0.25">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x14ac:dyDescent="0.25">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x14ac:dyDescent="0.25">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x14ac:dyDescent="0.25">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x14ac:dyDescent="0.2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x14ac:dyDescent="0.25">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x14ac:dyDescent="0.25">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x14ac:dyDescent="0.25">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x14ac:dyDescent="0.25">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x14ac:dyDescent="0.25">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x14ac:dyDescent="0.25">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x14ac:dyDescent="0.25">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x14ac:dyDescent="0.25">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x14ac:dyDescent="0.25">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x14ac:dyDescent="0.2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x14ac:dyDescent="0.25">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x14ac:dyDescent="0.25">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x14ac:dyDescent="0.25">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x14ac:dyDescent="0.25">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x14ac:dyDescent="0.25">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x14ac:dyDescent="0.25">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x14ac:dyDescent="0.25">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x14ac:dyDescent="0.25">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x14ac:dyDescent="0.25">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x14ac:dyDescent="0.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x14ac:dyDescent="0.25">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x14ac:dyDescent="0.25">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x14ac:dyDescent="0.25">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x14ac:dyDescent="0.25">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x14ac:dyDescent="0.25">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x14ac:dyDescent="0.25">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x14ac:dyDescent="0.25">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x14ac:dyDescent="0.25">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x14ac:dyDescent="0.25">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x14ac:dyDescent="0.2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x14ac:dyDescent="0.25">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x14ac:dyDescent="0.25">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x14ac:dyDescent="0.25">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x14ac:dyDescent="0.25">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x14ac:dyDescent="0.25">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x14ac:dyDescent="0.25">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x14ac:dyDescent="0.25">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x14ac:dyDescent="0.25">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x14ac:dyDescent="0.25">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x14ac:dyDescent="0.2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x14ac:dyDescent="0.25">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x14ac:dyDescent="0.25">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x14ac:dyDescent="0.25">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x14ac:dyDescent="0.25">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x14ac:dyDescent="0.25">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x14ac:dyDescent="0.25">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x14ac:dyDescent="0.25">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x14ac:dyDescent="0.25">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x14ac:dyDescent="0.25">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x14ac:dyDescent="0.2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x14ac:dyDescent="0.25">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x14ac:dyDescent="0.25">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x14ac:dyDescent="0.25">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x14ac:dyDescent="0.25">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x14ac:dyDescent="0.25">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x14ac:dyDescent="0.25">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x14ac:dyDescent="0.25">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x14ac:dyDescent="0.25">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x14ac:dyDescent="0.25">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x14ac:dyDescent="0.2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x14ac:dyDescent="0.25">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x14ac:dyDescent="0.25">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x14ac:dyDescent="0.25">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x14ac:dyDescent="0.25">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x14ac:dyDescent="0.25">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x14ac:dyDescent="0.25">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x14ac:dyDescent="0.25">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x14ac:dyDescent="0.25">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x14ac:dyDescent="0.25">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x14ac:dyDescent="0.2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x14ac:dyDescent="0.25">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x14ac:dyDescent="0.25">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x14ac:dyDescent="0.25">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x14ac:dyDescent="0.25">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x14ac:dyDescent="0.25">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x14ac:dyDescent="0.25">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x14ac:dyDescent="0.25">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x14ac:dyDescent="0.25">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x14ac:dyDescent="0.25">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x14ac:dyDescent="0.2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x14ac:dyDescent="0.25">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x14ac:dyDescent="0.25">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x14ac:dyDescent="0.25">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x14ac:dyDescent="0.25">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x14ac:dyDescent="0.25">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x14ac:dyDescent="0.25">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x14ac:dyDescent="0.25">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x14ac:dyDescent="0.25">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x14ac:dyDescent="0.25">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x14ac:dyDescent="0.2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x14ac:dyDescent="0.25">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x14ac:dyDescent="0.25">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x14ac:dyDescent="0.25">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x14ac:dyDescent="0.25">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x14ac:dyDescent="0.25">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x14ac:dyDescent="0.25">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x14ac:dyDescent="0.25">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x14ac:dyDescent="0.25">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x14ac:dyDescent="0.25">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x14ac:dyDescent="0.2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x14ac:dyDescent="0.25">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x14ac:dyDescent="0.25">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x14ac:dyDescent="0.25">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x14ac:dyDescent="0.25">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x14ac:dyDescent="0.25">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x14ac:dyDescent="0.25">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x14ac:dyDescent="0.25">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x14ac:dyDescent="0.25">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x14ac:dyDescent="0.25">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x14ac:dyDescent="0.2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x14ac:dyDescent="0.25">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x14ac:dyDescent="0.25">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x14ac:dyDescent="0.25">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x14ac:dyDescent="0.25">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x14ac:dyDescent="0.25">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x14ac:dyDescent="0.25">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x14ac:dyDescent="0.25">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x14ac:dyDescent="0.25">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x14ac:dyDescent="0.25">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x14ac:dyDescent="0.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x14ac:dyDescent="0.25">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x14ac:dyDescent="0.25">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x14ac:dyDescent="0.25">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x14ac:dyDescent="0.25">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x14ac:dyDescent="0.25">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x14ac:dyDescent="0.25">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x14ac:dyDescent="0.25">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x14ac:dyDescent="0.25">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x14ac:dyDescent="0.25">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x14ac:dyDescent="0.2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x14ac:dyDescent="0.25">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x14ac:dyDescent="0.25">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x14ac:dyDescent="0.25">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x14ac:dyDescent="0.25">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x14ac:dyDescent="0.25">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x14ac:dyDescent="0.25">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x14ac:dyDescent="0.25">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x14ac:dyDescent="0.25">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x14ac:dyDescent="0.25">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x14ac:dyDescent="0.2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x14ac:dyDescent="0.25">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x14ac:dyDescent="0.25">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x14ac:dyDescent="0.25">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x14ac:dyDescent="0.25">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x14ac:dyDescent="0.25">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x14ac:dyDescent="0.25">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x14ac:dyDescent="0.25">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x14ac:dyDescent="0.25">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x14ac:dyDescent="0.25">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x14ac:dyDescent="0.2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x14ac:dyDescent="0.25">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x14ac:dyDescent="0.25">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x14ac:dyDescent="0.25">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x14ac:dyDescent="0.25">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x14ac:dyDescent="0.25">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x14ac:dyDescent="0.25">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x14ac:dyDescent="0.25">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x14ac:dyDescent="0.25">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x14ac:dyDescent="0.25">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x14ac:dyDescent="0.2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x14ac:dyDescent="0.25">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x14ac:dyDescent="0.25">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x14ac:dyDescent="0.25">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x14ac:dyDescent="0.25">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x14ac:dyDescent="0.25">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x14ac:dyDescent="0.25">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x14ac:dyDescent="0.25">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x14ac:dyDescent="0.25">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x14ac:dyDescent="0.25">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x14ac:dyDescent="0.2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x14ac:dyDescent="0.25">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x14ac:dyDescent="0.25">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x14ac:dyDescent="0.25">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x14ac:dyDescent="0.25">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x14ac:dyDescent="0.25">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x14ac:dyDescent="0.25">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x14ac:dyDescent="0.25">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x14ac:dyDescent="0.25">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x14ac:dyDescent="0.25">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x14ac:dyDescent="0.2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x14ac:dyDescent="0.25">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x14ac:dyDescent="0.25">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x14ac:dyDescent="0.25">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x14ac:dyDescent="0.25">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x14ac:dyDescent="0.25">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x14ac:dyDescent="0.25">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x14ac:dyDescent="0.25">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x14ac:dyDescent="0.25">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x14ac:dyDescent="0.25">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x14ac:dyDescent="0.2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x14ac:dyDescent="0.25">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x14ac:dyDescent="0.25">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x14ac:dyDescent="0.25">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x14ac:dyDescent="0.25">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x14ac:dyDescent="0.25">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x14ac:dyDescent="0.25">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x14ac:dyDescent="0.25">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x14ac:dyDescent="0.25">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x14ac:dyDescent="0.25">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x14ac:dyDescent="0.2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x14ac:dyDescent="0.25">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x14ac:dyDescent="0.25">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x14ac:dyDescent="0.25">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x14ac:dyDescent="0.25">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x14ac:dyDescent="0.25">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x14ac:dyDescent="0.25">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x14ac:dyDescent="0.25">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x14ac:dyDescent="0.25">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x14ac:dyDescent="0.25">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x14ac:dyDescent="0.2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x14ac:dyDescent="0.25">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x14ac:dyDescent="0.25">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x14ac:dyDescent="0.25">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x14ac:dyDescent="0.25">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x14ac:dyDescent="0.25">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x14ac:dyDescent="0.25">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x14ac:dyDescent="0.25">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x14ac:dyDescent="0.25">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x14ac:dyDescent="0.25">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x14ac:dyDescent="0.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x14ac:dyDescent="0.25">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x14ac:dyDescent="0.25">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x14ac:dyDescent="0.25">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x14ac:dyDescent="0.25">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x14ac:dyDescent="0.25">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x14ac:dyDescent="0.25">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x14ac:dyDescent="0.25">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x14ac:dyDescent="0.25">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x14ac:dyDescent="0.25">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x14ac:dyDescent="0.2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x14ac:dyDescent="0.25">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x14ac:dyDescent="0.25">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x14ac:dyDescent="0.25">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x14ac:dyDescent="0.25">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x14ac:dyDescent="0.25">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x14ac:dyDescent="0.25">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x14ac:dyDescent="0.25">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x14ac:dyDescent="0.25">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x14ac:dyDescent="0.25">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x14ac:dyDescent="0.2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x14ac:dyDescent="0.25">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x14ac:dyDescent="0.25">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x14ac:dyDescent="0.25">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x14ac:dyDescent="0.25">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x14ac:dyDescent="0.25">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x14ac:dyDescent="0.25">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x14ac:dyDescent="0.25">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x14ac:dyDescent="0.25">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x14ac:dyDescent="0.25">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x14ac:dyDescent="0.2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x14ac:dyDescent="0.25">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x14ac:dyDescent="0.25">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x14ac:dyDescent="0.25">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x14ac:dyDescent="0.25">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x14ac:dyDescent="0.25">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x14ac:dyDescent="0.25">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x14ac:dyDescent="0.25">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x14ac:dyDescent="0.25">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x14ac:dyDescent="0.25">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x14ac:dyDescent="0.2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x14ac:dyDescent="0.25">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x14ac:dyDescent="0.25">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x14ac:dyDescent="0.25">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x14ac:dyDescent="0.25">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x14ac:dyDescent="0.25">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x14ac:dyDescent="0.25">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x14ac:dyDescent="0.25">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x14ac:dyDescent="0.25">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x14ac:dyDescent="0.25">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x14ac:dyDescent="0.2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x14ac:dyDescent="0.25">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x14ac:dyDescent="0.25">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x14ac:dyDescent="0.25">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x14ac:dyDescent="0.25">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x14ac:dyDescent="0.25">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x14ac:dyDescent="0.25">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x14ac:dyDescent="0.25">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x14ac:dyDescent="0.25">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x14ac:dyDescent="0.25">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x14ac:dyDescent="0.2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x14ac:dyDescent="0.25">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x14ac:dyDescent="0.25">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x14ac:dyDescent="0.25">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x14ac:dyDescent="0.25">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x14ac:dyDescent="0.25">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x14ac:dyDescent="0.25">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x14ac:dyDescent="0.25">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x14ac:dyDescent="0.25">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x14ac:dyDescent="0.25">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x14ac:dyDescent="0.2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x14ac:dyDescent="0.25">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x14ac:dyDescent="0.25">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x14ac:dyDescent="0.25">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spans="1:26" x14ac:dyDescent="0.25">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spans="1:26" x14ac:dyDescent="0.25">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row r="1001" spans="1:26" x14ac:dyDescent="0.25">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Proyecto.</vt:lpstr>
      <vt:lpstr>Costo Total del Proyecto.</vt:lpstr>
      <vt:lpstr>Planeación_1.</vt:lpstr>
      <vt:lpstr>Planeación_2</vt:lpstr>
      <vt:lpstr>Pagos Profesionales.</vt:lpstr>
      <vt:lpstr>Hadware y Software.</vt:lpstr>
      <vt:lpstr>Gastos Administrativos.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2026-06-26T19:09:37Z</dcterms:created>
  <dcterms:modified xsi:type="dcterms:W3CDTF">2026-06-26T19:09:37Z</dcterms:modified>
</cp:coreProperties>
</file>